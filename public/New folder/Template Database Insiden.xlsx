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ing\Performance\"/>
    </mc:Choice>
  </mc:AlternateContent>
  <xr:revisionPtr revIDLastSave="0" documentId="13_ncr:1_{DA497BDC-63AF-45FD-A6F8-2E772C7E16CE}" xr6:coauthVersionLast="47" xr6:coauthVersionMax="47" xr10:uidLastSave="{00000000-0000-0000-0000-000000000000}"/>
  <bookViews>
    <workbookView xWindow="-120" yWindow="-120" windowWidth="29040" windowHeight="15720" firstSheet="1" activeTab="5" xr2:uid="{1A46CE56-08C4-4679-9AFE-ACA22554C2EF}"/>
  </bookViews>
  <sheets>
    <sheet name="Timeline" sheetId="6" state="hidden" r:id="rId1"/>
    <sheet name="Data" sheetId="4" r:id="rId2"/>
    <sheet name="Dashboard" sheetId="7" r:id="rId3"/>
    <sheet name="TABEL INPUT KECELAKAAN" sheetId="1" r:id="rId4"/>
    <sheet name="TABEL ANALISA KECELAKAAN" sheetId="3" r:id="rId5"/>
    <sheet name="Safety Performance" sheetId="5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8" i="5" l="1" a="1"/>
  <c r="AF8" i="5" s="1"/>
  <c r="AF7" i="5"/>
  <c r="AB8" i="5" a="1"/>
  <c r="AB8" i="5" s="1"/>
  <c r="AB7" i="5"/>
  <c r="T8" i="5" a="1"/>
  <c r="T8" i="5" s="1"/>
  <c r="T7" i="5"/>
  <c r="M10" i="5" a="1"/>
  <c r="M10" i="5" s="1"/>
  <c r="M9" i="5" a="1"/>
  <c r="M9" i="5" s="1"/>
  <c r="M8" i="5" a="1"/>
  <c r="M8" i="5" s="1"/>
  <c r="M7" i="5"/>
  <c r="I8" i="5"/>
  <c r="I9" i="5"/>
  <c r="I10" i="5"/>
  <c r="I11" i="5"/>
  <c r="I12" i="5"/>
  <c r="AA12" i="5" s="1"/>
  <c r="I13" i="5"/>
  <c r="AA13" i="5" s="1"/>
  <c r="I14" i="5"/>
  <c r="AE14" i="5" s="1"/>
  <c r="I15" i="5"/>
  <c r="I16" i="5"/>
  <c r="I17" i="5"/>
  <c r="I18" i="5"/>
  <c r="L19" i="5"/>
  <c r="L8" i="5"/>
  <c r="L9" i="5"/>
  <c r="L10" i="5"/>
  <c r="L11" i="5"/>
  <c r="L12" i="5"/>
  <c r="L13" i="5"/>
  <c r="L14" i="5"/>
  <c r="L15" i="5"/>
  <c r="L16" i="5"/>
  <c r="L17" i="5"/>
  <c r="L18" i="5"/>
  <c r="L7" i="5"/>
  <c r="K19" i="5"/>
  <c r="S19" i="5"/>
  <c r="S8" i="5"/>
  <c r="S9" i="5"/>
  <c r="S10" i="5"/>
  <c r="S11" i="5"/>
  <c r="S12" i="5"/>
  <c r="S13" i="5"/>
  <c r="S14" i="5"/>
  <c r="S15" i="5"/>
  <c r="S16" i="5"/>
  <c r="S17" i="5"/>
  <c r="S18" i="5"/>
  <c r="S7" i="5"/>
  <c r="R19" i="5"/>
  <c r="R8" i="5"/>
  <c r="R9" i="5"/>
  <c r="R10" i="5"/>
  <c r="R11" i="5"/>
  <c r="R12" i="5"/>
  <c r="R13" i="5"/>
  <c r="R14" i="5"/>
  <c r="R15" i="5"/>
  <c r="R16" i="5"/>
  <c r="R17" i="5"/>
  <c r="R18" i="5"/>
  <c r="P19" i="5"/>
  <c r="Q19" i="5"/>
  <c r="R7" i="5"/>
  <c r="AE8" i="5"/>
  <c r="AE12" i="5"/>
  <c r="AE13" i="5"/>
  <c r="AE16" i="5"/>
  <c r="AC19" i="5"/>
  <c r="X9" i="5"/>
  <c r="AA9" i="5" s="1"/>
  <c r="X10" i="5"/>
  <c r="AA10" i="5" s="1"/>
  <c r="X11" i="5"/>
  <c r="X12" i="5"/>
  <c r="X13" i="5"/>
  <c r="X14" i="5"/>
  <c r="X15" i="5"/>
  <c r="X16" i="5"/>
  <c r="AA16" i="5" s="1"/>
  <c r="X17" i="5"/>
  <c r="AA17" i="5" s="1"/>
  <c r="X18" i="5"/>
  <c r="AA18" i="5" s="1"/>
  <c r="H19" i="5"/>
  <c r="G19" i="5"/>
  <c r="E19" i="5"/>
  <c r="D19" i="5"/>
  <c r="AE18" i="5"/>
  <c r="F18" i="5"/>
  <c r="AE17" i="5"/>
  <c r="F17" i="5"/>
  <c r="F16" i="5"/>
  <c r="AA15" i="5"/>
  <c r="F15" i="5"/>
  <c r="F14" i="5"/>
  <c r="F13" i="5"/>
  <c r="F12" i="5"/>
  <c r="AE11" i="5"/>
  <c r="F11" i="5"/>
  <c r="AE10" i="5"/>
  <c r="F10" i="5"/>
  <c r="AE9" i="5"/>
  <c r="F9" i="5"/>
  <c r="X8" i="5"/>
  <c r="AA8" i="5" s="1"/>
  <c r="F8" i="5"/>
  <c r="X7" i="5"/>
  <c r="X19" i="5" s="1"/>
  <c r="I7" i="5"/>
  <c r="F7" i="5"/>
  <c r="F19" i="5" s="1"/>
  <c r="AE15" i="5" l="1"/>
  <c r="I19" i="5"/>
  <c r="AA11" i="5"/>
  <c r="AA14" i="5"/>
  <c r="AE7" i="5"/>
  <c r="AE19" i="5" s="1"/>
  <c r="AA7" i="5"/>
  <c r="AA19" i="5" l="1"/>
  <c r="AF19" i="5"/>
  <c r="AB19" i="5" l="1"/>
  <c r="T19" i="5"/>
  <c r="M19" i="5"/>
  <c r="AC7" i="1" l="1"/>
  <c r="F4" i="1"/>
  <c r="AF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Putri Widyaningtyas</author>
  </authors>
  <commentList>
    <comment ref="F11" authorId="0" shapeId="0" xr:uid="{A6B2821C-E264-4398-A011-FF2548315D13}">
      <text>
        <r>
          <rPr>
            <b/>
            <sz val="9"/>
            <color indexed="81"/>
            <rFont val="Tahoma"/>
            <family val="2"/>
          </rPr>
          <t>Christina Putri Widyaningtyas:</t>
        </r>
        <r>
          <rPr>
            <sz val="9"/>
            <color indexed="81"/>
            <rFont val="Tahoma"/>
            <family val="2"/>
          </rPr>
          <t xml:space="preserve">
dropdown</t>
        </r>
      </text>
    </comment>
    <comment ref="G11" authorId="0" shapeId="0" xr:uid="{38744EFF-08B8-405B-B51D-8F4BD11DA9FC}">
      <text>
        <r>
          <rPr>
            <b/>
            <sz val="9"/>
            <color indexed="81"/>
            <rFont val="Tahoma"/>
            <family val="2"/>
          </rPr>
          <t>Christina Putri Widyaningtyas:</t>
        </r>
        <r>
          <rPr>
            <sz val="9"/>
            <color indexed="81"/>
            <rFont val="Tahoma"/>
            <family val="2"/>
          </rPr>
          <t xml:space="preserve">
dropdwon</t>
        </r>
      </text>
    </comment>
    <comment ref="I11" authorId="0" shapeId="0" xr:uid="{BF5416D4-3BA2-4137-8C2A-100512B1A07A}">
      <text>
        <r>
          <rPr>
            <b/>
            <sz val="9"/>
            <color indexed="81"/>
            <rFont val="Tahoma"/>
            <family val="2"/>
          </rPr>
          <t>Christina Putri Widyaningtyas:</t>
        </r>
        <r>
          <rPr>
            <sz val="9"/>
            <color indexed="81"/>
            <rFont val="Tahoma"/>
            <family val="2"/>
          </rPr>
          <t xml:space="preserve">
dropdown
</t>
        </r>
      </text>
    </comment>
    <comment ref="F34" authorId="0" shapeId="0" xr:uid="{86861F4E-5A74-41AE-BCE7-5BD0A0819F96}">
      <text>
        <r>
          <rPr>
            <b/>
            <sz val="9"/>
            <color indexed="81"/>
            <rFont val="Tahoma"/>
            <family val="2"/>
          </rPr>
          <t>Christina Putri Widyaningtyas:</t>
        </r>
        <r>
          <rPr>
            <sz val="9"/>
            <color indexed="81"/>
            <rFont val="Tahoma"/>
            <family val="2"/>
          </rPr>
          <t xml:space="preserve">
dropdown</t>
        </r>
      </text>
    </comment>
    <comment ref="G34" authorId="0" shapeId="0" xr:uid="{A43C7F09-2A60-4195-95BA-E8BA4F236D6F}">
      <text>
        <r>
          <rPr>
            <b/>
            <sz val="9"/>
            <color indexed="81"/>
            <rFont val="Tahoma"/>
            <family val="2"/>
          </rPr>
          <t>Christina Putri Widyaningtyas:</t>
        </r>
        <r>
          <rPr>
            <sz val="9"/>
            <color indexed="81"/>
            <rFont val="Tahoma"/>
            <family val="2"/>
          </rPr>
          <t xml:space="preserve">
dropdwon</t>
        </r>
      </text>
    </comment>
    <comment ref="I34" authorId="0" shapeId="0" xr:uid="{BEBCE6F8-9815-4DD0-9DF3-58FF7351B9A2}">
      <text>
        <r>
          <rPr>
            <b/>
            <sz val="9"/>
            <color indexed="81"/>
            <rFont val="Tahoma"/>
            <family val="2"/>
          </rPr>
          <t>Christina Putri Widyaningtyas:</t>
        </r>
        <r>
          <rPr>
            <sz val="9"/>
            <color indexed="81"/>
            <rFont val="Tahoma"/>
            <family val="2"/>
          </rPr>
          <t xml:space="preserve">
dropdown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Guntur Pasaribu</author>
  </authors>
  <commentList>
    <comment ref="D5" authorId="0" shapeId="0" xr:uid="{45B704FE-D6B5-49C8-AEB9-8ABC430D05C9}">
      <text>
        <r>
          <rPr>
            <b/>
            <sz val="9"/>
            <color indexed="81"/>
            <rFont val="Tahoma"/>
            <family val="2"/>
          </rPr>
          <t>Guntur Pasaribu:</t>
        </r>
        <r>
          <rPr>
            <sz val="9"/>
            <color indexed="81"/>
            <rFont val="Tahoma"/>
            <family val="2"/>
          </rPr>
          <t xml:space="preserve">
HPRI INCIDENT REPORT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Guntur Pasaribu</author>
  </authors>
  <commentList>
    <comment ref="AH6" authorId="0" shapeId="0" xr:uid="{EB204C56-C66D-46FB-95F7-5535BFB2C554}">
      <text>
        <r>
          <rPr>
            <b/>
            <sz val="9"/>
            <color indexed="81"/>
            <rFont val="Tahoma"/>
            <family val="2"/>
          </rPr>
          <t>Guntur Pasaribu:</t>
        </r>
        <r>
          <rPr>
            <sz val="9"/>
            <color indexed="81"/>
            <rFont val="Tahoma"/>
            <family val="2"/>
          </rPr>
          <t xml:space="preserve">
HIGH POTENTIAL RISK INCIDENT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<sst xmlns="http://schemas.openxmlformats.org/spreadsheetml/2006/main" count="721" uniqueCount="611">
  <si>
    <t>NO</t>
  </si>
  <si>
    <t>CCOW</t>
  </si>
  <si>
    <t>TANGGAL KEJADIAN (DD/MM/YYYY)</t>
  </si>
  <si>
    <t>HARI</t>
  </si>
  <si>
    <t>LOKASI</t>
  </si>
  <si>
    <t>LOKASI DETAIL</t>
  </si>
  <si>
    <t>JUDUL INSIDEN (40 KARAKTER)</t>
  </si>
  <si>
    <t>JENIS KELAMIN</t>
  </si>
  <si>
    <t>UMUR</t>
  </si>
  <si>
    <t>POSISI / JABATAN</t>
  </si>
  <si>
    <t>DETAIL POSISI / JABATAN</t>
  </si>
  <si>
    <t>PERUSAHAAN</t>
  </si>
  <si>
    <t>JENIS INSIDEN / KECELAKAAN</t>
  </si>
  <si>
    <t>AKIBAT NSIDEN / KECELAKAAN</t>
  </si>
  <si>
    <t>PELAPORAN</t>
  </si>
  <si>
    <t>UNDANGAN PRESENTASI</t>
  </si>
  <si>
    <t>HARI HILANG 
(HARI)</t>
  </si>
  <si>
    <t>BIAYA KERUGIAN AKTUAL (IDR)</t>
  </si>
  <si>
    <t>BIAYA KERUGIAN POTENSIAL (IDR)</t>
  </si>
  <si>
    <t>DUE DATE</t>
  </si>
  <si>
    <t>TANGGAL PRESENTASI</t>
  </si>
  <si>
    <t>SUBMIT DATE</t>
  </si>
  <si>
    <t>NO NOTIFIKASI
KECELAKAAN</t>
  </si>
  <si>
    <t>NO
HSE ALERT</t>
  </si>
  <si>
    <t>WAKTU DETAIL
(hh:mm)</t>
  </si>
  <si>
    <t>INTERVAL WAKTU</t>
  </si>
  <si>
    <t>INTERVAL UMUR</t>
  </si>
  <si>
    <t>LOKASI UMUM</t>
  </si>
  <si>
    <t>INTERVAL PENGALAMAN
BEKERJA</t>
  </si>
  <si>
    <t>UMUR DETAIL</t>
  </si>
  <si>
    <t>PICA AIMS</t>
  </si>
  <si>
    <t>DEPARTEMEN</t>
  </si>
  <si>
    <t>DETAIL TIPE INSIDEN</t>
  </si>
  <si>
    <t>PT Lahai Coal</t>
  </si>
  <si>
    <t>PT Maruwai Coal</t>
  </si>
  <si>
    <t>PT Juloi Coal</t>
  </si>
  <si>
    <t>PT Kalteng Coal</t>
  </si>
  <si>
    <t>PT Sumber Barito Coal</t>
  </si>
  <si>
    <t>PT Ratah Coal</t>
  </si>
  <si>
    <t>06.01 - 09.00</t>
  </si>
  <si>
    <t>09.01 - 12.00</t>
  </si>
  <si>
    <t>12.01 - 15.00</t>
  </si>
  <si>
    <t>15.01 - 18.00</t>
  </si>
  <si>
    <t>18.01 - 21.00</t>
  </si>
  <si>
    <t>21.01 - 00.00</t>
  </si>
  <si>
    <t>00.01 - 03.00</t>
  </si>
  <si>
    <t>03.01 - 06.00</t>
  </si>
  <si>
    <t>PT MARUWAI COAL</t>
  </si>
  <si>
    <t>BASALT CRUSHER</t>
  </si>
  <si>
    <t>BLC PORT TUHUP - 1</t>
  </si>
  <si>
    <t>BLC PORT TUHUP - 2</t>
  </si>
  <si>
    <t>BYPASS KM 27-35</t>
  </si>
  <si>
    <t>BYPASS KM 39</t>
  </si>
  <si>
    <t>CAMP HAJU</t>
  </si>
  <si>
    <t>CAMP KM26</t>
  </si>
  <si>
    <t>CAMP LAMA TUHUP</t>
  </si>
  <si>
    <t>CAMP LWF LAMPUNUT</t>
  </si>
  <si>
    <t>CAMP PPA</t>
  </si>
  <si>
    <t>CAMP PROJECT</t>
  </si>
  <si>
    <t>CAMP SIS TUHUP</t>
  </si>
  <si>
    <t>CAMP TRV TUHUP</t>
  </si>
  <si>
    <t>CAMP VILLAGE LAMPUNUT</t>
  </si>
  <si>
    <t>CHPP 1</t>
  </si>
  <si>
    <t>CHPP 2</t>
  </si>
  <si>
    <t>CSA HAULING - FO</t>
  </si>
  <si>
    <t>CSA KM 46</t>
  </si>
  <si>
    <t>CSA KM 61</t>
  </si>
  <si>
    <t>CSA KM27</t>
  </si>
  <si>
    <t>CSA PIT</t>
  </si>
  <si>
    <t>ERT 911 TUHUP</t>
  </si>
  <si>
    <t>ERT 913</t>
  </si>
  <si>
    <t>ERT 914</t>
  </si>
  <si>
    <t>ERT 915</t>
  </si>
  <si>
    <t>ERT STATION 912</t>
  </si>
  <si>
    <t>EXPLORATION AREA</t>
  </si>
  <si>
    <t>FABRICATION SHOP SIS LAMPUNUT</t>
  </si>
  <si>
    <t>FRONT OFFICE</t>
  </si>
  <si>
    <t>FUEL TANK LAMPUNUT</t>
  </si>
  <si>
    <t>FUEL TANK PORT TUHUP</t>
  </si>
  <si>
    <t>FUEL TANK TIA TUHUP</t>
  </si>
  <si>
    <t>GUDANG HANDAK</t>
  </si>
  <si>
    <t>JALAN HAULING CHR</t>
  </si>
  <si>
    <t>JALAN HAULING LNR</t>
  </si>
  <si>
    <t>JALAN HAULING SHR</t>
  </si>
  <si>
    <t>JALAN TAMBANG</t>
  </si>
  <si>
    <t>JALAN TAMBANG BASALT</t>
  </si>
  <si>
    <t>JEMBATAN BABAO</t>
  </si>
  <si>
    <t>JEMBATAN BERIWIT</t>
  </si>
  <si>
    <t>JEMBATAN KM 13</t>
  </si>
  <si>
    <t>JEMBATAN KM 6</t>
  </si>
  <si>
    <t>JEMBATAN LAMPUNUT</t>
  </si>
  <si>
    <t>JEMBATAN RIVER A (MENARA API)</t>
  </si>
  <si>
    <t>JETTY FUEL PORT TUHUP</t>
  </si>
  <si>
    <t>JETTY LOGISTIC PORT TUHUP</t>
  </si>
  <si>
    <t>JETTY PASSENGER TUHUP</t>
  </si>
  <si>
    <t>KANTOR AMC HAJU</t>
  </si>
  <si>
    <t>KANTOR EKSPLORASI</t>
  </si>
  <si>
    <t>KANTOR LMFO</t>
  </si>
  <si>
    <t>KANTOR MIA LT 1</t>
  </si>
  <si>
    <t>KANTOR MIA LT 2</t>
  </si>
  <si>
    <t>KANTOR PORT OPERATIONS</t>
  </si>
  <si>
    <t>KANTOR PPA</t>
  </si>
  <si>
    <t>KANTOR SIS HAJU</t>
  </si>
  <si>
    <t>KANTOR TRC</t>
  </si>
  <si>
    <t>KANTOR/WHS PT EPIROC LAMPUNUT</t>
  </si>
  <si>
    <t>KANTOR/WHS PT LIEBHERR LAMPUNUT</t>
  </si>
  <si>
    <t>KANTOR/WHS PT UT LAMPUNUT</t>
  </si>
  <si>
    <t>KLINIK HAJU</t>
  </si>
  <si>
    <t>KLINIK LAMPUNUT</t>
  </si>
  <si>
    <t>KLINIK TUHUP</t>
  </si>
  <si>
    <t>LAB. GEOSERVICE</t>
  </si>
  <si>
    <t>LAMPUNUT MIA</t>
  </si>
  <si>
    <t>NURSERY LAMPUNUT</t>
  </si>
  <si>
    <t>OFFICE CHPP</t>
  </si>
  <si>
    <t>PIT BASALT</t>
  </si>
  <si>
    <t>PIT CENTRAL</t>
  </si>
  <si>
    <t>PIT NORTH</t>
  </si>
  <si>
    <t>PIT SOUTH</t>
  </si>
  <si>
    <t>PIT STOP</t>
  </si>
  <si>
    <t>POS SECURITY KM 39</t>
  </si>
  <si>
    <t>POS SECURITY TANGO 0</t>
  </si>
  <si>
    <t>POS SECURITY TANGO 1</t>
  </si>
  <si>
    <t>POWER HOUSE GENSET</t>
  </si>
  <si>
    <t>ROAD 1</t>
  </si>
  <si>
    <t>ROAD 2</t>
  </si>
  <si>
    <t>ROAD 3</t>
  </si>
  <si>
    <t>ROM PRODUCT CHPP 1</t>
  </si>
  <si>
    <t>ROM PRODUCT CHPP 2</t>
  </si>
  <si>
    <t>ROM RAW CHPP</t>
  </si>
  <si>
    <t>RWI LAMPUNUT</t>
  </si>
  <si>
    <t>SP BASALT</t>
  </si>
  <si>
    <t>SP CHPP</t>
  </si>
  <si>
    <t>SPLM 01</t>
  </si>
  <si>
    <t>SPLM 02</t>
  </si>
  <si>
    <t>SPLM 03</t>
  </si>
  <si>
    <t>SPTH-01</t>
  </si>
  <si>
    <t>SPTH-03</t>
  </si>
  <si>
    <t>STP CAMP VILLAGE</t>
  </si>
  <si>
    <t>TPS LB3 PTLC - TUHUP</t>
  </si>
  <si>
    <t>TPS LB3 PTMC - TUHUP</t>
  </si>
  <si>
    <t>TPS LB3 SIS LAMPUNUT</t>
  </si>
  <si>
    <t>TYRE SHOP SIS LAMPUNUT</t>
  </si>
  <si>
    <t>WAREHOUESE - TUHUP</t>
  </si>
  <si>
    <t>WAREHOUSE LAMPUNUT</t>
  </si>
  <si>
    <t>WAREHOUSE SIS LAMPUNUT</t>
  </si>
  <si>
    <t>WASTE MGMT LAMPUNUT</t>
  </si>
  <si>
    <t>WEIGHT BRIDGE 1</t>
  </si>
  <si>
    <t>WEIGHT BRIDGE 2</t>
  </si>
  <si>
    <t>WEIGHT BRIDGE 3</t>
  </si>
  <si>
    <t>WORKHSOP INFRA FPM TUHUP</t>
  </si>
  <si>
    <t>WORKHSOP INFRA HRGA TUHUP</t>
  </si>
  <si>
    <t>WORKHSOP LV TRANSKON TUHUP</t>
  </si>
  <si>
    <t>WORKHSOP SIS TUHUP</t>
  </si>
  <si>
    <t>WORKSHOP A2B SIS LAMPUNUT</t>
  </si>
  <si>
    <t>WORKSHOP FPM CHPP</t>
  </si>
  <si>
    <t>WORKSHOP HAJU LAMA</t>
  </si>
  <si>
    <t>WORKSHOP HIA HAJU</t>
  </si>
  <si>
    <t>WORKSHOP INFRA FPM LAMPUNUT</t>
  </si>
  <si>
    <t>WORKSHOP INFRA HRGA LAMPUNUT</t>
  </si>
  <si>
    <t>WORKSHOP LV SIS LAMPUNUT</t>
  </si>
  <si>
    <t>WORKSHOP LV TRANSKON</t>
  </si>
  <si>
    <t>WORKSHOP MTC BLC</t>
  </si>
  <si>
    <t>WORKSHOP PPA</t>
  </si>
  <si>
    <t>PT LAHAI COAL</t>
  </si>
  <si>
    <t>AREA REKLAMASI HAJU</t>
  </si>
  <si>
    <t>KANTOR PPA HAJU</t>
  </si>
  <si>
    <t>NURSERY HAJU</t>
  </si>
  <si>
    <t>PIT LAUNG DANUM HAJU</t>
  </si>
  <si>
    <t>PIT SOUTH HAJU</t>
  </si>
  <si>
    <t>SPHJ 08</t>
  </si>
  <si>
    <t>WORKSHOP A2B PPA HAJU</t>
  </si>
  <si>
    <t>WORKSHOP LV PPA HAJU</t>
  </si>
  <si>
    <t>Pria</t>
  </si>
  <si>
    <t>Wanita</t>
  </si>
  <si>
    <t>N/A</t>
  </si>
  <si>
    <t>18 s/d &lt; 20</t>
  </si>
  <si>
    <t>&gt;= 20 s/d &lt; 25</t>
  </si>
  <si>
    <t>&gt;= 25 s/d &lt; 30</t>
  </si>
  <si>
    <t>&gt;= 30 s/d &lt; 35</t>
  </si>
  <si>
    <t>&gt;= 35 s/d &lt; 40</t>
  </si>
  <si>
    <t>&gt;= 40 s/d &lt; 45</t>
  </si>
  <si>
    <t>&gt;= 45 s/d &lt; 50</t>
  </si>
  <si>
    <t>&gt;= 50 s/d &lt; 55</t>
  </si>
  <si>
    <t>&gt;= 55</t>
  </si>
  <si>
    <t>KTT</t>
  </si>
  <si>
    <t>Penanggung Jawab Operasional (PJO)</t>
  </si>
  <si>
    <t>Dept. Head/Kepala bagian</t>
  </si>
  <si>
    <t>Sect. Head/Kepala Seksi</t>
  </si>
  <si>
    <t>Superintendent</t>
  </si>
  <si>
    <t>Spesialist</t>
  </si>
  <si>
    <t>Engineer</t>
  </si>
  <si>
    <t>Supervisor / Unit Head</t>
  </si>
  <si>
    <t>Group Leader / Foreman / Coordinator</t>
  </si>
  <si>
    <t>Operator</t>
  </si>
  <si>
    <t>Field Assistant / Crew</t>
  </si>
  <si>
    <t>Helper</t>
  </si>
  <si>
    <t>Security</t>
  </si>
  <si>
    <t>Chef / Cook</t>
  </si>
  <si>
    <t>Mekanik</t>
  </si>
  <si>
    <t>Teknisi</t>
  </si>
  <si>
    <t>Driver</t>
  </si>
  <si>
    <t>&lt;= 1 Tahun</t>
  </si>
  <si>
    <t>&gt;1 - 2 Tahun</t>
  </si>
  <si>
    <t>&gt; 2 - 5 Tahun</t>
  </si>
  <si>
    <t>&gt;5 - 10 Tahun</t>
  </si>
  <si>
    <t>&gt; 10 Tahun</t>
  </si>
  <si>
    <t>CV Akhmad Bagus Margautama</t>
  </si>
  <si>
    <t>CV Mura Minsik</t>
  </si>
  <si>
    <t>PT Abadi Raya Commerce</t>
  </si>
  <si>
    <t>PT Adaro Logistic</t>
  </si>
  <si>
    <t>PT Adijaya Teknindo</t>
  </si>
  <si>
    <t>PT Bandang Mining Coal</t>
  </si>
  <si>
    <t>PT Bina Jaya Sejahtera</t>
  </si>
  <si>
    <t>PT Biomustika Utama</t>
  </si>
  <si>
    <t>PT Bisa Bersama Kawan</t>
  </si>
  <si>
    <t>PT Borneo Mura Perkasa</t>
  </si>
  <si>
    <t>PT Carsurin</t>
  </si>
  <si>
    <t>PT Cipta Total Solusindo</t>
  </si>
  <si>
    <t>PT Citasys</t>
  </si>
  <si>
    <t>PT Dahana</t>
  </si>
  <si>
    <t>PT DKP A5</t>
  </si>
  <si>
    <t>PT Duta Borneo Mining</t>
  </si>
  <si>
    <t>PT Epiroc Southern</t>
  </si>
  <si>
    <t>PT Geoservices</t>
  </si>
  <si>
    <t>PT Gilang Sinar Jaya</t>
  </si>
  <si>
    <t>PT Gobel Dharma Sarana Karya</t>
  </si>
  <si>
    <t>PT Harapan Bahtera Internusa</t>
  </si>
  <si>
    <t>PT Indonesia Carbon Energy</t>
  </si>
  <si>
    <t>PT Indovickers Furnitama</t>
  </si>
  <si>
    <t>PT Kinaya Multi Konstruksi</t>
  </si>
  <si>
    <t>PT Kwarsa Hexagon</t>
  </si>
  <si>
    <t>PT Liebherr Indonesia</t>
  </si>
  <si>
    <t>PT Medika Jasa Utama</t>
  </si>
  <si>
    <t>PT Mitra Barito Perkasa</t>
  </si>
  <si>
    <t>PT Mitra Usaha K3</t>
  </si>
  <si>
    <t>PT Multi Line Borneo</t>
  </si>
  <si>
    <t>PT Pasifiktel Indotama</t>
  </si>
  <si>
    <t>PT Primac Perkasa Indonesia</t>
  </si>
  <si>
    <t>PT Putra Perkasa Abadi</t>
  </si>
  <si>
    <t>PT Rudi Pratama</t>
  </si>
  <si>
    <t>PT Saptaindra Sejati</t>
  </si>
  <si>
    <t>PT Sinar Alam Duta Perdana</t>
  </si>
  <si>
    <t>PT Solid Universal Indonesia</t>
  </si>
  <si>
    <t>PT Tata Wisata</t>
  </si>
  <si>
    <t>PT Tower Bersama Group</t>
  </si>
  <si>
    <t>PT Trakindo</t>
  </si>
  <si>
    <t>PT Transkon Jaya</t>
  </si>
  <si>
    <t>PT Triatra Sinergi Pratama</t>
  </si>
  <si>
    <t>PT United Tractor</t>
  </si>
  <si>
    <t>PT Widya Sapta Contractor</t>
  </si>
  <si>
    <t>PT Berkah Naira Pratama Sinergi</t>
  </si>
  <si>
    <t>PT Adaro Jasabara Indonesia (AJI)</t>
  </si>
  <si>
    <t>PT Tiatra Sinergi Pratama (TSP)</t>
  </si>
  <si>
    <t>CHPP Operations</t>
  </si>
  <si>
    <t>Community Development</t>
  </si>
  <si>
    <t>CRSO</t>
  </si>
  <si>
    <t>Engineering</t>
  </si>
  <si>
    <t>Environment</t>
  </si>
  <si>
    <t>Finance &amp; Accounting</t>
  </si>
  <si>
    <t>Fix Plant Maintenance</t>
  </si>
  <si>
    <t>GED/GFO</t>
  </si>
  <si>
    <t>GovRel &amp; ComRel</t>
  </si>
  <si>
    <t>Health &amp; Safety</t>
  </si>
  <si>
    <t>HRGA</t>
  </si>
  <si>
    <t>IT</t>
  </si>
  <si>
    <t>LMFO</t>
  </si>
  <si>
    <t>Logistics</t>
  </si>
  <si>
    <t>Management Improvement</t>
  </si>
  <si>
    <t>MCPL</t>
  </si>
  <si>
    <t>Mining Operations</t>
  </si>
  <si>
    <t>MMSD</t>
  </si>
  <si>
    <t>Port Operations &amp; Maintenance</t>
  </si>
  <si>
    <t>Procurement</t>
  </si>
  <si>
    <t>Project Construction</t>
  </si>
  <si>
    <t>Project Management Office</t>
  </si>
  <si>
    <t>QA/QC</t>
  </si>
  <si>
    <t>Strategic Sourcing</t>
  </si>
  <si>
    <t>HPRI</t>
  </si>
  <si>
    <t>Minor</t>
  </si>
  <si>
    <t>Mayor</t>
  </si>
  <si>
    <t>Kritikal</t>
  </si>
  <si>
    <t>KRITERIA INSIDEN</t>
  </si>
  <si>
    <t>JENIS LAPORAN</t>
  </si>
  <si>
    <t>LPKS</t>
  </si>
  <si>
    <t>LPKL</t>
  </si>
  <si>
    <t>STATUS LAPORAN</t>
  </si>
  <si>
    <t>Minggu</t>
  </si>
  <si>
    <t>Senin</t>
  </si>
  <si>
    <t>Selasa</t>
  </si>
  <si>
    <t>Rabu</t>
  </si>
  <si>
    <t>Kamis</t>
  </si>
  <si>
    <t>Jumat</t>
  </si>
  <si>
    <t>Sabtu</t>
  </si>
  <si>
    <t>Kecelakaan Tambang - cidera ringan</t>
  </si>
  <si>
    <t>Kecelakaan Tambang - cidera berat</t>
  </si>
  <si>
    <t>Kecelakaan Tambang - mati</t>
  </si>
  <si>
    <t>Penyakit Akibat Kerja</t>
  </si>
  <si>
    <t>Kejadian Akibat Penyakit Tenaga Kerja</t>
  </si>
  <si>
    <t>Pencemaran Lingkungan</t>
  </si>
  <si>
    <t>Kejadian Berbahaya</t>
  </si>
  <si>
    <t>Property Damage</t>
  </si>
  <si>
    <t>Nearmiss</t>
  </si>
  <si>
    <t>Pelangggaran Prosedur</t>
  </si>
  <si>
    <t>TIPE INSIDEN</t>
  </si>
  <si>
    <t>First Aid Injury</t>
  </si>
  <si>
    <t>Medical Treatment Injury</t>
  </si>
  <si>
    <t>PENYEBAB KECELAKAAN</t>
  </si>
  <si>
    <t>Penyebab Langsung Tindakan Tidak Aman (USA)</t>
  </si>
  <si>
    <t>Penyebab Dasar Faktor Pribadi (PF)</t>
  </si>
  <si>
    <t>Penyebab Dasar Kondisi Tidak Aman (USC)</t>
  </si>
  <si>
    <t>Penyebab Dasar Faktor Pekerjaan (JF)</t>
  </si>
  <si>
    <t>AKAR PENYEBAB INSIDEN</t>
  </si>
  <si>
    <t>USA - 1 Menjalankan pekerjaan tanpa otorisasi</t>
  </si>
  <si>
    <t>USA - 2 Gagal Memperingatkan</t>
  </si>
  <si>
    <t>USA - 3 Gagal Mengamankan</t>
  </si>
  <si>
    <t>USA - 4 Mengoperasikan dengan kecepatan tidak layak</t>
  </si>
  <si>
    <t>USA - 5 Membuat peralatan pengaman tidak berfungsi</t>
  </si>
  <si>
    <t>USA - 6 Menggunakan peralatan yang rusak</t>
  </si>
  <si>
    <t>USA - 7 Penggunaan APD yang tidak layak</t>
  </si>
  <si>
    <t>USA - 8 Proses loading/unloading yang tidak layak</t>
  </si>
  <si>
    <t>USA - 9 Penempatan yang tidak layak</t>
  </si>
  <si>
    <t>USA - 10 Proses pengangkatan yang tidak layak</t>
  </si>
  <si>
    <t>USA - 11 Posisi yang tidak layak untuk bekerja</t>
  </si>
  <si>
    <t>USA - 12 Perbaikan peralatan yang sedang beroperasi</t>
  </si>
  <si>
    <t>USA - 13 Bercanda, main-main</t>
  </si>
  <si>
    <t>USA - 14 Dalam pengaruh alkohol dan atau obat</t>
  </si>
  <si>
    <t>USA - 15 Penggunaan peralatan yang tidak layak</t>
  </si>
  <si>
    <t>USA - 16 Gagal mengikuti prosedur</t>
  </si>
  <si>
    <t>USC - 1 Pelindung / pembatas tidak layak</t>
  </si>
  <si>
    <t>USC - 2 APD tidak layak</t>
  </si>
  <si>
    <t>USC - 3 Peralatan atau material yang rusak</t>
  </si>
  <si>
    <t>USC - 4 Keterbatasan gerak / tempat</t>
  </si>
  <si>
    <t>USC - 5 Sistem peringatan yang kurang</t>
  </si>
  <si>
    <t>USC - 6 Bahaya kebakaran dan atau peledakan</t>
  </si>
  <si>
    <t>USC - 7 Tata lingkungan yang buruk / tidak teratur</t>
  </si>
  <si>
    <t>USC - 8 Paparan / Pajanan Kebisingan</t>
  </si>
  <si>
    <t>USC - 9 Paparan / Pajanan Radiasi</t>
  </si>
  <si>
    <t>USC - 10 Suhu yang ekstrim (tinggi/rendah)</t>
  </si>
  <si>
    <t>USC - 11 Penerangan yang berlebih / kurang</t>
  </si>
  <si>
    <t>USC - 12 Ventilasi yang kurang</t>
  </si>
  <si>
    <t>USC - 13 Kondisi lingkungan berbahaya (gas, debu, asap)</t>
  </si>
  <si>
    <t>PF - 1 Keterbatasan / kemampuan fisik kurang</t>
  </si>
  <si>
    <t>PF - 2 Masalah mental / psikologis</t>
  </si>
  <si>
    <t>PF - 3 Stress fisik / fisiologis</t>
  </si>
  <si>
    <t xml:space="preserve">PF - 4 Stress mental / psikologis </t>
  </si>
  <si>
    <t>PF - 5 Kurang pengetahuan</t>
  </si>
  <si>
    <t>PF - 6 Kurang keterampilan</t>
  </si>
  <si>
    <t>PF - 7 Motivasi tidak layak</t>
  </si>
  <si>
    <t>JF - 1 Kurang kepemimpinan dan atau pengawasan</t>
  </si>
  <si>
    <t>JF - 2 Engineering tidak layak / tidak tepat</t>
  </si>
  <si>
    <t>JF - 3 Sistem pengadaan barang / jasa tidak layak</t>
  </si>
  <si>
    <t>JF - 4 Pemeliharaan tidak layak</t>
  </si>
  <si>
    <t>JF - 5 Peralatan dan mesin yang kurang / tidak layak</t>
  </si>
  <si>
    <t>JF - 6 Standar kerja yang tidak layak</t>
  </si>
  <si>
    <t>JF - 7 Pemanfaatan dan penggunaan yang berlebihan</t>
  </si>
  <si>
    <t>JF - 8 Penyalahgunaan pemakaian</t>
  </si>
  <si>
    <t>PICA</t>
  </si>
  <si>
    <t>JENIS REKOMENDASI</t>
  </si>
  <si>
    <t>Rekayasa</t>
  </si>
  <si>
    <t>Eliminasi</t>
  </si>
  <si>
    <t>Substitusi</t>
  </si>
  <si>
    <t>Administrasi</t>
  </si>
  <si>
    <t>Praktek Kerja</t>
  </si>
  <si>
    <t>Alat Pelindung Diri</t>
  </si>
  <si>
    <t>Done</t>
  </si>
  <si>
    <t>Not Yet</t>
  </si>
  <si>
    <t>Closed</t>
  </si>
  <si>
    <t>Closed Overdue</t>
  </si>
  <si>
    <t>Open</t>
  </si>
  <si>
    <t>Overdue</t>
  </si>
  <si>
    <t>Non HPRI</t>
  </si>
  <si>
    <t>Fatality</t>
  </si>
  <si>
    <t>Lost Time Incident</t>
  </si>
  <si>
    <t>Kecelakaan Lingkungan</t>
  </si>
  <si>
    <t>TIPE KECELAKAAN (LPKS/L)</t>
  </si>
  <si>
    <t>SUMBER KECELAKAAN</t>
  </si>
  <si>
    <t>Others</t>
  </si>
  <si>
    <t>SK.1 Animal, insect &amp; biological</t>
  </si>
  <si>
    <t>SK.2 Walking &amp; working surface</t>
  </si>
  <si>
    <t>SK.3 Harvesting</t>
  </si>
  <si>
    <t>SK.4 Working at height</t>
  </si>
  <si>
    <t>SK.5 Hazardous Material</t>
  </si>
  <si>
    <t>SK.6 Electrical</t>
  </si>
  <si>
    <t>SK.7 Light Mobile Equipment</t>
  </si>
  <si>
    <t>SK.8 Lifting &amp; Rigging</t>
  </si>
  <si>
    <t>SK.9 Tools &amp; handtools</t>
  </si>
  <si>
    <t>SK.10 Heavy Mobile Equipment</t>
  </si>
  <si>
    <t>SK.11 Hot work</t>
  </si>
  <si>
    <t>SK.12 Machine &amp; conveyor guarding</t>
  </si>
  <si>
    <t>SK.13 Bulk material handling</t>
  </si>
  <si>
    <t>SK.14 Confined space entry</t>
  </si>
  <si>
    <t>SK.15 Barge &amp; Boat Operation</t>
  </si>
  <si>
    <t>SK.16 Excavation and trench work</t>
  </si>
  <si>
    <t>SK.17 Pinched Point</t>
  </si>
  <si>
    <t>SK.18 Contact with sharp edge</t>
  </si>
  <si>
    <t>SK.19 Fall from same level (slip or trip)</t>
  </si>
  <si>
    <t>SK.20 Struck by falling object</t>
  </si>
  <si>
    <t>SK.21 Struck by other</t>
  </si>
  <si>
    <t>SK.22 Contact with hot material</t>
  </si>
  <si>
    <t>SK.23 Equipment/structure failure</t>
  </si>
  <si>
    <t>SK.24 Drowning</t>
  </si>
  <si>
    <t>SK.25 Fall from elevation</t>
  </si>
  <si>
    <t>SK.26 Others</t>
  </si>
  <si>
    <t>Menabrak Sesuatu (Maju/Mundur)</t>
  </si>
  <si>
    <t>Tertabrak / terpukul / tertimpa sesuatu</t>
  </si>
  <si>
    <t>Jatuh ke level lebih rendah atau kejatuhan</t>
  </si>
  <si>
    <t>Jatuh pada level yang sama</t>
  </si>
  <si>
    <t>Tertangkap dalam (tertusuk, cubit, jepit)</t>
  </si>
  <si>
    <t>Tersangkut pada, terjepit, tertangkap, terjebak
(diantara, di dalam atau di bawah)</t>
  </si>
  <si>
    <t>Terperangkap di antara atau di bawah, terpotong, remuk, hancur</t>
  </si>
  <si>
    <t>Kontak dengan (suhu ekstrim, radiasi, aliran listrik, suara)</t>
  </si>
  <si>
    <t>Kelebihan tekanan/tegangan/beban</t>
  </si>
  <si>
    <t>Kerusakan alat</t>
  </si>
  <si>
    <t>Masuknya benda asing ke tubuh / mata / kulit</t>
  </si>
  <si>
    <t>Disengat oleh / digigit sesuatu</t>
  </si>
  <si>
    <t>JENIS MOBILE EQUIPMENT</t>
  </si>
  <si>
    <t>Excavator</t>
  </si>
  <si>
    <t>Loader</t>
  </si>
  <si>
    <t>Bachoe Loader</t>
  </si>
  <si>
    <t>Shovel</t>
  </si>
  <si>
    <t>Dump Truck/Trailer/Truck</t>
  </si>
  <si>
    <t>Haul Truck</t>
  </si>
  <si>
    <t>Water Truck</t>
  </si>
  <si>
    <t>Dozer</t>
  </si>
  <si>
    <t>Drilling</t>
  </si>
  <si>
    <t>Compactor</t>
  </si>
  <si>
    <t>Grader</t>
  </si>
  <si>
    <t>Crane Truck (Hiab)</t>
  </si>
  <si>
    <t>Forklift/Tyre Handler/Manitou</t>
  </si>
  <si>
    <t>Service Truck/Fuel Truck</t>
  </si>
  <si>
    <t>Fire Truck</t>
  </si>
  <si>
    <t>LowBoy/Trailer</t>
  </si>
  <si>
    <t>Passangers Bus/Manhaul</t>
  </si>
  <si>
    <t>Light Vehicle</t>
  </si>
  <si>
    <t>SHIFT KERJA</t>
  </si>
  <si>
    <t>Malam</t>
  </si>
  <si>
    <t xml:space="preserve">Siang </t>
  </si>
  <si>
    <t>ROSTER KERJA</t>
  </si>
  <si>
    <t>5/2</t>
  </si>
  <si>
    <t>8/2</t>
  </si>
  <si>
    <t>10/2</t>
  </si>
  <si>
    <t>KONDISI CIDERA/SAKIT</t>
  </si>
  <si>
    <t>Reaksi alergi</t>
  </si>
  <si>
    <t>Dislokasi</t>
  </si>
  <si>
    <t>Gigitan/Sengatan hewan</t>
  </si>
  <si>
    <t>Kehilangan pendengaran</t>
  </si>
  <si>
    <t>Amputasi</t>
  </si>
  <si>
    <t>Tersengat listrik</t>
  </si>
  <si>
    <t>Tersayat</t>
  </si>
  <si>
    <t>Cidera dalam</t>
  </si>
  <si>
    <t>Tergores</t>
  </si>
  <si>
    <t>Barang asing</t>
  </si>
  <si>
    <t>Keseleo</t>
  </si>
  <si>
    <t>Gangguan pernafasan</t>
  </si>
  <si>
    <t>Luka bakar</t>
  </si>
  <si>
    <t>Retak/patah</t>
  </si>
  <si>
    <t>Cidera banyak</t>
  </si>
  <si>
    <t>Gangguan kulit</t>
  </si>
  <si>
    <t xml:space="preserve"> Concussion</t>
  </si>
  <si>
    <t>Kepanasan</t>
  </si>
  <si>
    <t xml:space="preserve"> Hernia </t>
  </si>
  <si>
    <t>Stres</t>
  </si>
  <si>
    <t>Lain-lain</t>
  </si>
  <si>
    <t>BAGIAN TUBUH</t>
  </si>
  <si>
    <t>Kepala/muka</t>
  </si>
  <si>
    <t>Bahu</t>
  </si>
  <si>
    <t>Paha</t>
  </si>
  <si>
    <t>Leher</t>
  </si>
  <si>
    <t>Lengan</t>
  </si>
  <si>
    <t>Kaki</t>
  </si>
  <si>
    <t>Punggung</t>
  </si>
  <si>
    <t>Tangan/jari-jari</t>
  </si>
  <si>
    <t>Lutut</t>
  </si>
  <si>
    <t>Mata</t>
  </si>
  <si>
    <t>Dada</t>
  </si>
  <si>
    <t>Pergelangan kaki</t>
  </si>
  <si>
    <t>Telinga</t>
  </si>
  <si>
    <t>Perut</t>
  </si>
  <si>
    <t>Kaki/tumit</t>
  </si>
  <si>
    <t>Kejadian insiden
pada jam ke</t>
  </si>
  <si>
    <t>&lt;4</t>
  </si>
  <si>
    <t>&lt;6</t>
  </si>
  <si>
    <t>&lt;8</t>
  </si>
  <si>
    <t>&lt;10</t>
  </si>
  <si>
    <t>&lt;12</t>
  </si>
  <si>
    <t>&gt;12</t>
  </si>
  <si>
    <t>PROSEDUR</t>
  </si>
  <si>
    <t>Apakah terdapat prosedur yang mendukung dengan pekerjaan ini?</t>
  </si>
  <si>
    <t>Apakah prosedur tersebut diikuti?</t>
  </si>
  <si>
    <t>Apakah kecelakaan memiliki hubungan dengan akuntabilitas dari pengawas? (Sangsi sesuai dengan SPDK dan/atau Komite Disiplin)</t>
  </si>
  <si>
    <t>Ya</t>
  </si>
  <si>
    <t>Tidak</t>
  </si>
  <si>
    <t>Apakah kecelakaan ini berhubungan dengan kecelakaan sarana/unit mundur?</t>
  </si>
  <si>
    <t>Apakah kecelakaan ini merupakan kecelakaan berhubungan dengan Fatigue Management?</t>
  </si>
  <si>
    <t>Apakah kecelakaan ini berhubungan dengan penggunaan minuman keras dan obat-obatan terlarang?</t>
  </si>
  <si>
    <t>Apakah akar penyebab dari kecelakaan ini berhubungan dengan pengetahuan / kompetensi / training?</t>
  </si>
  <si>
    <t>Apakah kecelakaan ini merupakan kecelakaan HPRI (High Potential Risk Incident)?</t>
  </si>
  <si>
    <t>Kecelakaan merupakan pergerakan tidak terkendali (unit meluncur, rem blong, dll)?</t>
  </si>
  <si>
    <t>Kecelakaan berhubungan dengan Interaksi Kendaraan (sarana / A2B)?</t>
  </si>
  <si>
    <t>Diperlukan untuk review IBPR dan/atau Bowtie?</t>
  </si>
  <si>
    <t>LOKASI INSIDEN</t>
  </si>
  <si>
    <t xml:space="preserve">WAKTU INSIDEN </t>
  </si>
  <si>
    <t>DATA LENGKAP YANG TERLIBAT DALAM INSIDEN</t>
  </si>
  <si>
    <t>UMUR KORBAN</t>
  </si>
  <si>
    <t>INFORMASI TAMBAHAN</t>
  </si>
  <si>
    <t>JUMLAH KARYAWAN</t>
  </si>
  <si>
    <t>TOTAL</t>
  </si>
  <si>
    <t>JUMLAH JAM KERJA</t>
  </si>
  <si>
    <t>JAM KERJA BULANAN</t>
  </si>
  <si>
    <t>JAM KERJA KUMULATIF</t>
  </si>
  <si>
    <t>JUMLAH KECELAKAAN</t>
  </si>
  <si>
    <t>ANGKA HARI HILANG</t>
  </si>
  <si>
    <t>KUMULATIF
HARI HILANG</t>
  </si>
  <si>
    <t>NON HPRI</t>
  </si>
  <si>
    <t>Biaya Kecelakaan (IDR)</t>
  </si>
  <si>
    <t>BULAN</t>
  </si>
  <si>
    <t>AMC</t>
  </si>
  <si>
    <t>MITRA
KERJA</t>
  </si>
  <si>
    <t>MITRA KERJA</t>
  </si>
  <si>
    <t>MTD AIFR</t>
  </si>
  <si>
    <t>YTD All Incident FR</t>
  </si>
  <si>
    <t>PROPERTY DAMAGE</t>
  </si>
  <si>
    <t>NEARMISS</t>
  </si>
  <si>
    <t>FAI</t>
  </si>
  <si>
    <t>MTI</t>
  </si>
  <si>
    <t>MTD All Injury FR</t>
  </si>
  <si>
    <t>YTD
All Injury FR</t>
  </si>
  <si>
    <t>CIDERA RINGAN</t>
  </si>
  <si>
    <t>CIDERA BERAT</t>
  </si>
  <si>
    <t>KAPTK</t>
  </si>
  <si>
    <t>PAK</t>
  </si>
  <si>
    <t>MTD LTI-FR</t>
  </si>
  <si>
    <t>YTD LTI-FR</t>
  </si>
  <si>
    <t>MTD LTI-SR</t>
  </si>
  <si>
    <t>YTD LTI-SR</t>
  </si>
  <si>
    <t>Biaya Langsung (IDR)</t>
  </si>
  <si>
    <t>Potensial Kerugian (IDR)</t>
  </si>
  <si>
    <t>MINOR</t>
  </si>
  <si>
    <t>MAYOR</t>
  </si>
  <si>
    <t>KRITIKAL</t>
  </si>
  <si>
    <t>K3</t>
  </si>
  <si>
    <t>ALL INCIDENT</t>
  </si>
  <si>
    <t>MTI + FAI</t>
  </si>
  <si>
    <t>PENCEMARAN LINGKUNGAN</t>
  </si>
  <si>
    <t>Akar Penyebab Kecelakaan</t>
  </si>
  <si>
    <t>Jenis Rekomendasi</t>
  </si>
  <si>
    <t>MATI</t>
  </si>
  <si>
    <t>JUMLAH KECELAKAAN TAMBANG (T+U+V)</t>
  </si>
  <si>
    <t>KECELAKAAN TAMBANG (T+U+V)</t>
  </si>
  <si>
    <t>TIPE INSIDEN LINGKUNGAN</t>
  </si>
  <si>
    <t>WAKTU KEJADIAN</t>
  </si>
  <si>
    <t>DEPARTEMEN / 
DEPARTEMEN USER</t>
  </si>
  <si>
    <t>JUMLAH PENCEMARAN LINGKUNGAN</t>
  </si>
  <si>
    <t>AKIBAT LANGSUNG INSIDEN</t>
  </si>
  <si>
    <t>Insiden terjadi 
pada jam ke</t>
  </si>
  <si>
    <t>Penyebab Kecelakaan</t>
  </si>
  <si>
    <t>JENIS PENYEBAB KECELAKAAN</t>
  </si>
  <si>
    <t>Target</t>
  </si>
  <si>
    <t>Diskusi awal &amp; paparan</t>
  </si>
  <si>
    <t>Development</t>
  </si>
  <si>
    <t>Trial &amp; error</t>
  </si>
  <si>
    <t>Go live system</t>
  </si>
  <si>
    <t>Dashboard</t>
  </si>
  <si>
    <t>Data Insiden</t>
  </si>
  <si>
    <t>Hasil Investigasi</t>
  </si>
  <si>
    <t>Master Data</t>
  </si>
  <si>
    <t>Bulan</t>
  </si>
  <si>
    <t>Tahun</t>
  </si>
  <si>
    <t>Total Insiden</t>
  </si>
  <si>
    <t>Triwulan</t>
  </si>
  <si>
    <t>Trend Insiden</t>
  </si>
  <si>
    <t>Manhours</t>
  </si>
  <si>
    <t>Manpower</t>
  </si>
  <si>
    <t>Filter</t>
  </si>
  <si>
    <t>Akun Aktif</t>
  </si>
  <si>
    <t xml:space="preserve">Export </t>
  </si>
  <si>
    <t>Distribusi Kategori Insiden
(HPRI, non HPRI, minor, major, kritikal)</t>
  </si>
  <si>
    <t>Compliance
(open, closed, closed overdue, overdue)</t>
  </si>
  <si>
    <t>Top 5 Lokasi</t>
  </si>
  <si>
    <t>Top 5 Waktu Insiden</t>
  </si>
  <si>
    <t>Setting</t>
  </si>
  <si>
    <t>Distribusi Insiden
(departemen, perusahaan)</t>
  </si>
  <si>
    <t>Distribusi Jabatan</t>
  </si>
  <si>
    <t xml:space="preserve"> KORBAN/BENDA YANG TELIBAT DALAM INSIDEN</t>
  </si>
  <si>
    <t>Manusia</t>
  </si>
  <si>
    <t>Breakdown Insiden yang masih open dan overdue
- nomor notifikasi insiden
- tanggal
- tipe insiden
- kategori insiden
- due date</t>
  </si>
  <si>
    <t xml:space="preserve">SAFETY PERFORMANCE </t>
  </si>
  <si>
    <t>Trend insiden berdasarkan hari</t>
  </si>
  <si>
    <t>Trend insiden berdasarkan interval waktu</t>
  </si>
  <si>
    <t>Distribusi Sumber Kecelakaan</t>
  </si>
  <si>
    <t>Distribusi Jenis Penyebab Kecelakaan</t>
  </si>
  <si>
    <t>Distribusi Jenis Mobile Equipment</t>
  </si>
  <si>
    <t>HASIL INVESTIGASI</t>
  </si>
  <si>
    <t xml:space="preserve">Distribusi Interval Pengalaman Kerja </t>
  </si>
  <si>
    <t>Distribusi Kondisi Cidera/Sakit</t>
  </si>
  <si>
    <t>Distribusi Bagian Tubuh</t>
  </si>
  <si>
    <t>Jumlah Pencemaran Lingkungan</t>
  </si>
  <si>
    <t>Distribusi Penyebab Kecelakaan</t>
  </si>
  <si>
    <t>Distribusi Akar Penyebab Kecelakaan</t>
  </si>
  <si>
    <t>Jenis Rekomendasi Perbaikan</t>
  </si>
  <si>
    <t>Distribusi informasi tambahan</t>
  </si>
  <si>
    <t>Distribusi Jenis Laporan</t>
  </si>
  <si>
    <t>Trend Jenis Laporan</t>
  </si>
  <si>
    <t>Hari Hilang</t>
  </si>
  <si>
    <t>Trend FR
(grafik &amp; tabel)</t>
  </si>
  <si>
    <t>Trend SR
(grafik &amp; tabel)</t>
  </si>
  <si>
    <t>(Input Manual dan ada yang link dengan Tabel Input Kecelakaan. Terdapat juga yang ada rumusnya dan disesuaikan bagian yang ada rumusnya)</t>
  </si>
  <si>
    <t>(Data input akan berhubungan dengan Sheet Data)</t>
  </si>
  <si>
    <t>(Tabel input kecelakaan, manual di Input) Terdapat juga pilihan drop down yang berhubungan dengan sheet Data</t>
  </si>
  <si>
    <t>(Dashboard akan berhubungan dengan Tabel Inpot kecelakaan, Tabel Analisa Kecelakaan dan Safety Performance)</t>
  </si>
  <si>
    <t>Total FAI +MTI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</si>
</sst>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h:mm;@"/>
    <numFmt numFmtId="165" formatCode="dd/mm/yyyy;@"/>
    <numFmt numFmtId="167" formatCode="_-* #,##0.00_-;\-* #,##0.00_-;_-* &quot;-&quot;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23E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0" fillId="0" borderId="0" applyFont="0" applyFill="0" applyBorder="0" applyAlignment="0" applyProtection="0"/>
  </cellStyleXfs>
  <cellXfs count="10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6" fontId="0" fillId="0" borderId="0" xfId="0" quotePrefix="1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14" fontId="0" fillId="0" borderId="0" xfId="0" applyNumberFormat="1"/>
    <xf numFmtId="165" fontId="0" fillId="3" borderId="15" xfId="0" applyNumberFormat="1" applyFill="1" applyBorder="1" applyAlignment="1">
      <alignment horizontal="center" vertical="center"/>
    </xf>
    <xf numFmtId="165" fontId="0" fillId="3" borderId="15" xfId="0" applyNumberForma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vertical="center" wrapText="1"/>
    </xf>
    <xf numFmtId="0" fontId="5" fillId="4" borderId="0" xfId="0" applyFont="1" applyFill="1" applyAlignment="1">
      <alignment vertical="top" wrapText="1"/>
    </xf>
    <xf numFmtId="0" fontId="0" fillId="0" borderId="0" xfId="0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17" fontId="6" fillId="7" borderId="20" xfId="0" applyNumberFormat="1" applyFont="1" applyFill="1" applyBorder="1" applyAlignment="1">
      <alignment horizontal="center" vertical="center"/>
    </xf>
    <xf numFmtId="0" fontId="8" fillId="0" borderId="20" xfId="0" applyFont="1" applyBorder="1" applyAlignment="1">
      <alignment vertical="center" wrapText="1"/>
    </xf>
    <xf numFmtId="0" fontId="0" fillId="6" borderId="20" xfId="0" applyFill="1" applyBorder="1"/>
    <xf numFmtId="0" fontId="0" fillId="0" borderId="20" xfId="0" applyBorder="1"/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28" xfId="0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6" fillId="5" borderId="2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3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17" fontId="0" fillId="0" borderId="0" xfId="0" applyNumberFormat="1"/>
    <xf numFmtId="41" fontId="0" fillId="0" borderId="0" xfId="1" applyFont="1"/>
    <xf numFmtId="41" fontId="0" fillId="0" borderId="0" xfId="0" applyNumberFormat="1"/>
    <xf numFmtId="167" fontId="0" fillId="0" borderId="0" xfId="0" applyNumberFormat="1"/>
    <xf numFmtId="2" fontId="0" fillId="0" borderId="0" xfId="0" applyNumberFormat="1"/>
  </cellXfs>
  <cellStyles count="2">
    <cellStyle name="Comma [0]" xfId="1" builtinId="6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4458-9F38-46CB-86F5-9BCBEF2F3B94}">
  <dimension ref="G16:Q20"/>
  <sheetViews>
    <sheetView workbookViewId="0">
      <selection activeCell="G16" sqref="G16:Q20"/>
    </sheetView>
  </sheetViews>
  <sheetFormatPr defaultRowHeight="15" x14ac:dyDescent="0.25"/>
  <cols>
    <col min="7" max="7" width="20.7109375" customWidth="1"/>
  </cols>
  <sheetData>
    <row r="16" spans="7:17" x14ac:dyDescent="0.25">
      <c r="G16" s="33" t="s">
        <v>557</v>
      </c>
      <c r="H16" s="34">
        <v>46113</v>
      </c>
      <c r="I16" s="34">
        <v>46143</v>
      </c>
      <c r="J16" s="34">
        <v>46174</v>
      </c>
      <c r="K16" s="34">
        <v>46204</v>
      </c>
      <c r="L16" s="34">
        <v>46235</v>
      </c>
      <c r="M16" s="34">
        <v>46266</v>
      </c>
      <c r="N16" s="34">
        <v>46296</v>
      </c>
      <c r="O16" s="34">
        <v>46327</v>
      </c>
      <c r="P16" s="34">
        <v>46357</v>
      </c>
      <c r="Q16" s="34">
        <v>46388</v>
      </c>
    </row>
    <row r="17" spans="7:17" ht="30" x14ac:dyDescent="0.25">
      <c r="G17" s="35" t="s">
        <v>558</v>
      </c>
      <c r="H17" s="36"/>
      <c r="I17" s="37"/>
      <c r="J17" s="37"/>
      <c r="K17" s="37"/>
      <c r="L17" s="37"/>
      <c r="M17" s="37"/>
      <c r="N17" s="37"/>
      <c r="O17" s="37"/>
      <c r="P17" s="37"/>
      <c r="Q17" s="37"/>
    </row>
    <row r="18" spans="7:17" x14ac:dyDescent="0.25">
      <c r="G18" s="35" t="s">
        <v>559</v>
      </c>
      <c r="H18" s="37"/>
      <c r="I18" s="36"/>
      <c r="J18" s="36"/>
      <c r="K18" s="36"/>
      <c r="L18" s="36"/>
      <c r="M18" s="36"/>
      <c r="N18" s="36"/>
      <c r="O18" s="37"/>
      <c r="P18" s="37"/>
      <c r="Q18" s="37"/>
    </row>
    <row r="19" spans="7:17" x14ac:dyDescent="0.25">
      <c r="G19" s="35" t="s">
        <v>560</v>
      </c>
      <c r="H19" s="37"/>
      <c r="I19" s="37"/>
      <c r="J19" s="37"/>
      <c r="K19" s="37"/>
      <c r="L19" s="37"/>
      <c r="M19" s="37"/>
      <c r="N19" s="37"/>
      <c r="O19" s="36"/>
      <c r="P19" s="36"/>
      <c r="Q19" s="37"/>
    </row>
    <row r="20" spans="7:17" x14ac:dyDescent="0.25">
      <c r="G20" s="35" t="s">
        <v>561</v>
      </c>
      <c r="H20" s="37"/>
      <c r="I20" s="37"/>
      <c r="J20" s="37"/>
      <c r="K20" s="37"/>
      <c r="L20" s="37"/>
      <c r="M20" s="37"/>
      <c r="N20" s="37"/>
      <c r="O20" s="37"/>
      <c r="P20" s="37"/>
      <c r="Q20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B229-A229-47BD-B5EF-9DE7FD843BBB}">
  <dimension ref="C4:AE132"/>
  <sheetViews>
    <sheetView topLeftCell="A28" zoomScale="70" zoomScaleNormal="70" workbookViewId="0">
      <selection activeCell="O31" sqref="O31:O46"/>
    </sheetView>
  </sheetViews>
  <sheetFormatPr defaultColWidth="8.85546875" defaultRowHeight="15" x14ac:dyDescent="0.25"/>
  <cols>
    <col min="1" max="2" width="8.85546875" style="15"/>
    <col min="3" max="3" width="30.5703125" style="8" bestFit="1" customWidth="1"/>
    <col min="4" max="5" width="11.42578125" style="15" bestFit="1" customWidth="1"/>
    <col min="6" max="6" width="33.28515625" style="15" bestFit="1" customWidth="1"/>
    <col min="7" max="8" width="8.85546875" style="15"/>
    <col min="9" max="9" width="31.85546875" style="15" bestFit="1" customWidth="1"/>
    <col min="10" max="11" width="8.85546875" style="15"/>
    <col min="12" max="12" width="27.85546875" style="15" bestFit="1" customWidth="1"/>
    <col min="13" max="13" width="12.7109375" style="15" customWidth="1"/>
    <col min="14" max="14" width="8.85546875" style="15"/>
    <col min="15" max="15" width="39.42578125" style="15" bestFit="1" customWidth="1"/>
    <col min="16" max="16" width="10.5703125" style="15" bestFit="1" customWidth="1"/>
    <col min="17" max="17" width="10.140625" style="15" customWidth="1"/>
    <col min="18" max="18" width="77.85546875" style="15" bestFit="1" customWidth="1"/>
    <col min="19" max="20" width="8.85546875" style="15"/>
    <col min="21" max="21" width="28.5703125" style="15" bestFit="1" customWidth="1"/>
    <col min="22" max="23" width="8.85546875" style="15"/>
    <col min="24" max="26" width="25.7109375" style="15" customWidth="1"/>
    <col min="27" max="31" width="25.85546875" style="15" customWidth="1"/>
    <col min="32" max="16384" width="8.85546875" style="15"/>
  </cols>
  <sheetData>
    <row r="4" spans="3:26" ht="15.75" thickBot="1" x14ac:dyDescent="0.3"/>
    <row r="5" spans="3:26" ht="29.45" customHeight="1" thickBot="1" x14ac:dyDescent="0.3">
      <c r="C5" s="10" t="s">
        <v>1</v>
      </c>
      <c r="F5" s="5" t="s">
        <v>27</v>
      </c>
      <c r="I5" s="6" t="s">
        <v>9</v>
      </c>
      <c r="L5" s="6" t="s">
        <v>11</v>
      </c>
      <c r="O5" s="6" t="s">
        <v>303</v>
      </c>
      <c r="R5" s="9" t="s">
        <v>374</v>
      </c>
      <c r="U5" s="9" t="s">
        <v>441</v>
      </c>
      <c r="X5" s="9" t="s">
        <v>479</v>
      </c>
    </row>
    <row r="6" spans="3:26" x14ac:dyDescent="0.25">
      <c r="C6" s="8" t="s">
        <v>35</v>
      </c>
      <c r="F6" s="16" t="s">
        <v>47</v>
      </c>
      <c r="I6" s="15" t="s">
        <v>184</v>
      </c>
      <c r="L6" s="15" t="s">
        <v>206</v>
      </c>
      <c r="O6" s="7" t="s">
        <v>293</v>
      </c>
      <c r="R6" s="15" t="s">
        <v>371</v>
      </c>
      <c r="U6" s="15" t="s">
        <v>458</v>
      </c>
      <c r="X6" s="15" t="s">
        <v>480</v>
      </c>
    </row>
    <row r="7" spans="3:26" x14ac:dyDescent="0.25">
      <c r="C7" s="8" t="s">
        <v>36</v>
      </c>
      <c r="F7" s="15" t="s">
        <v>48</v>
      </c>
      <c r="I7" s="15" t="s">
        <v>197</v>
      </c>
      <c r="L7" s="15" t="s">
        <v>207</v>
      </c>
      <c r="O7" s="7" t="s">
        <v>294</v>
      </c>
      <c r="R7" s="15" t="s">
        <v>304</v>
      </c>
      <c r="U7" s="15" t="s">
        <v>460</v>
      </c>
      <c r="X7" s="15" t="s">
        <v>481</v>
      </c>
    </row>
    <row r="8" spans="3:26" x14ac:dyDescent="0.25">
      <c r="C8" s="8" t="s">
        <v>33</v>
      </c>
      <c r="F8" s="15" t="s">
        <v>49</v>
      </c>
      <c r="I8" s="15" t="s">
        <v>186</v>
      </c>
      <c r="L8" s="15" t="s">
        <v>208</v>
      </c>
      <c r="O8" s="7" t="s">
        <v>295</v>
      </c>
      <c r="R8" s="8" t="s">
        <v>373</v>
      </c>
      <c r="U8" s="15" t="s">
        <v>446</v>
      </c>
      <c r="X8" s="15" t="s">
        <v>482</v>
      </c>
    </row>
    <row r="9" spans="3:26" x14ac:dyDescent="0.25">
      <c r="C9" s="8" t="s">
        <v>34</v>
      </c>
      <c r="F9" s="15" t="s">
        <v>50</v>
      </c>
      <c r="I9" s="15" t="s">
        <v>200</v>
      </c>
      <c r="L9" s="15" t="s">
        <v>209</v>
      </c>
      <c r="O9" s="7" t="s">
        <v>304</v>
      </c>
      <c r="R9" s="8" t="s">
        <v>297</v>
      </c>
      <c r="U9" s="15" t="s">
        <v>451</v>
      </c>
      <c r="X9" s="15" t="s">
        <v>483</v>
      </c>
    </row>
    <row r="10" spans="3:26" x14ac:dyDescent="0.25">
      <c r="C10" s="8" t="s">
        <v>38</v>
      </c>
      <c r="F10" s="15" t="s">
        <v>51</v>
      </c>
      <c r="I10" s="15" t="s">
        <v>190</v>
      </c>
      <c r="L10" s="15" t="s">
        <v>210</v>
      </c>
      <c r="O10" s="7" t="s">
        <v>305</v>
      </c>
      <c r="R10" s="8" t="s">
        <v>299</v>
      </c>
      <c r="U10" s="15" t="s">
        <v>456</v>
      </c>
      <c r="X10" s="15" t="s">
        <v>484</v>
      </c>
    </row>
    <row r="11" spans="3:26" x14ac:dyDescent="0.25">
      <c r="C11" s="8" t="s">
        <v>37</v>
      </c>
      <c r="F11" s="15" t="s">
        <v>52</v>
      </c>
      <c r="I11" s="15" t="s">
        <v>194</v>
      </c>
      <c r="L11" s="15" t="s">
        <v>211</v>
      </c>
      <c r="O11" s="8" t="s">
        <v>296</v>
      </c>
      <c r="R11" s="15" t="s">
        <v>372</v>
      </c>
      <c r="U11" s="15" t="s">
        <v>449</v>
      </c>
      <c r="X11" s="15" t="s">
        <v>485</v>
      </c>
    </row>
    <row r="12" spans="3:26" ht="15.75" thickBot="1" x14ac:dyDescent="0.3">
      <c r="F12" s="15" t="s">
        <v>53</v>
      </c>
      <c r="I12" s="15" t="s">
        <v>192</v>
      </c>
      <c r="L12" s="15" t="s">
        <v>212</v>
      </c>
      <c r="O12" s="8" t="s">
        <v>297</v>
      </c>
      <c r="R12" s="15" t="s">
        <v>305</v>
      </c>
      <c r="U12" s="15" t="s">
        <v>443</v>
      </c>
    </row>
    <row r="13" spans="3:26" ht="15.75" thickBot="1" x14ac:dyDescent="0.3">
      <c r="C13" s="11" t="s">
        <v>434</v>
      </c>
      <c r="F13" s="15" t="s">
        <v>54</v>
      </c>
      <c r="I13" s="15" t="s">
        <v>195</v>
      </c>
      <c r="L13" s="15" t="s">
        <v>213</v>
      </c>
      <c r="O13" s="8" t="s">
        <v>298</v>
      </c>
      <c r="R13" s="8" t="s">
        <v>301</v>
      </c>
      <c r="U13" s="15" t="s">
        <v>457</v>
      </c>
    </row>
    <row r="14" spans="3:26" x14ac:dyDescent="0.25">
      <c r="C14" s="8" t="s">
        <v>436</v>
      </c>
      <c r="F14" s="15" t="s">
        <v>55</v>
      </c>
      <c r="I14" s="15" t="s">
        <v>198</v>
      </c>
      <c r="L14" s="15" t="s">
        <v>214</v>
      </c>
      <c r="O14" s="8" t="s">
        <v>299</v>
      </c>
      <c r="R14" s="8" t="s">
        <v>296</v>
      </c>
      <c r="U14" s="15" t="s">
        <v>453</v>
      </c>
      <c r="X14" s="53" t="s">
        <v>486</v>
      </c>
      <c r="Y14" s="54"/>
      <c r="Z14" s="54"/>
    </row>
    <row r="15" spans="3:26" ht="90" x14ac:dyDescent="0.25">
      <c r="C15" s="8" t="s">
        <v>435</v>
      </c>
      <c r="F15" s="15" t="s">
        <v>56</v>
      </c>
      <c r="I15" s="15" t="s">
        <v>174</v>
      </c>
      <c r="L15" s="15" t="s">
        <v>215</v>
      </c>
      <c r="O15" s="8" t="s">
        <v>300</v>
      </c>
      <c r="R15" s="8" t="s">
        <v>300</v>
      </c>
      <c r="U15" s="15" t="s">
        <v>444</v>
      </c>
      <c r="X15" s="19" t="s">
        <v>487</v>
      </c>
      <c r="Y15" s="20" t="s">
        <v>488</v>
      </c>
      <c r="Z15" s="20" t="s">
        <v>489</v>
      </c>
    </row>
    <row r="16" spans="3:26" ht="15.75" thickBot="1" x14ac:dyDescent="0.3">
      <c r="F16" s="15" t="s">
        <v>57</v>
      </c>
      <c r="I16" s="15" t="s">
        <v>193</v>
      </c>
      <c r="L16" s="15" t="s">
        <v>216</v>
      </c>
      <c r="O16" s="8" t="s">
        <v>301</v>
      </c>
      <c r="U16" s="15" t="s">
        <v>445</v>
      </c>
      <c r="X16" s="15" t="s">
        <v>490</v>
      </c>
      <c r="Y16" s="15" t="s">
        <v>490</v>
      </c>
      <c r="Z16" s="15" t="s">
        <v>490</v>
      </c>
    </row>
    <row r="17" spans="3:31" ht="15.75" thickBot="1" x14ac:dyDescent="0.3">
      <c r="C17" s="11" t="s">
        <v>25</v>
      </c>
      <c r="F17" s="15" t="s">
        <v>58</v>
      </c>
      <c r="I17" s="15" t="s">
        <v>185</v>
      </c>
      <c r="L17" s="15" t="s">
        <v>217</v>
      </c>
      <c r="O17" s="8" t="s">
        <v>302</v>
      </c>
      <c r="U17" s="15" t="s">
        <v>459</v>
      </c>
      <c r="X17" s="15" t="s">
        <v>491</v>
      </c>
      <c r="Y17" s="15" t="s">
        <v>491</v>
      </c>
      <c r="Z17" s="15" t="s">
        <v>491</v>
      </c>
    </row>
    <row r="18" spans="3:31" x14ac:dyDescent="0.25">
      <c r="C18" s="8" t="s">
        <v>39</v>
      </c>
      <c r="F18" s="15" t="s">
        <v>59</v>
      </c>
      <c r="I18" s="15" t="s">
        <v>187</v>
      </c>
      <c r="L18" s="15" t="s">
        <v>218</v>
      </c>
      <c r="R18" s="9" t="s">
        <v>375</v>
      </c>
      <c r="U18" s="15" t="s">
        <v>452</v>
      </c>
    </row>
    <row r="19" spans="3:31" x14ac:dyDescent="0.25">
      <c r="C19" s="8" t="s">
        <v>40</v>
      </c>
      <c r="F19" s="15" t="s">
        <v>60</v>
      </c>
      <c r="I19" s="15" t="s">
        <v>196</v>
      </c>
      <c r="L19" s="15" t="s">
        <v>219</v>
      </c>
      <c r="R19" s="15" t="s">
        <v>377</v>
      </c>
      <c r="U19" s="15" t="s">
        <v>454</v>
      </c>
    </row>
    <row r="20" spans="3:31" ht="15.75" thickBot="1" x14ac:dyDescent="0.3">
      <c r="C20" s="8" t="s">
        <v>41</v>
      </c>
      <c r="F20" s="15" t="s">
        <v>61</v>
      </c>
      <c r="I20" s="15" t="s">
        <v>189</v>
      </c>
      <c r="L20" s="15" t="s">
        <v>220</v>
      </c>
      <c r="R20" s="15" t="s">
        <v>378</v>
      </c>
      <c r="U20" s="15" t="s">
        <v>442</v>
      </c>
    </row>
    <row r="21" spans="3:31" ht="75" x14ac:dyDescent="0.25">
      <c r="C21" s="8" t="s">
        <v>42</v>
      </c>
      <c r="F21" s="15" t="s">
        <v>62</v>
      </c>
      <c r="I21" s="15" t="s">
        <v>188</v>
      </c>
      <c r="L21" s="15" t="s">
        <v>221</v>
      </c>
      <c r="O21" s="6" t="s">
        <v>306</v>
      </c>
      <c r="R21" s="15" t="s">
        <v>379</v>
      </c>
      <c r="U21" s="15" t="s">
        <v>455</v>
      </c>
      <c r="X21" s="28" t="s">
        <v>492</v>
      </c>
      <c r="Y21" s="28" t="s">
        <v>493</v>
      </c>
      <c r="Z21" s="28" t="s">
        <v>494</v>
      </c>
      <c r="AA21" s="28" t="s">
        <v>495</v>
      </c>
      <c r="AB21" s="28" t="s">
        <v>496</v>
      </c>
      <c r="AC21" s="28" t="s">
        <v>497</v>
      </c>
      <c r="AD21" s="28" t="s">
        <v>498</v>
      </c>
      <c r="AE21" s="28" t="s">
        <v>499</v>
      </c>
    </row>
    <row r="22" spans="3:31" x14ac:dyDescent="0.25">
      <c r="C22" s="8" t="s">
        <v>43</v>
      </c>
      <c r="F22" s="15" t="s">
        <v>63</v>
      </c>
      <c r="I22" s="15" t="s">
        <v>191</v>
      </c>
      <c r="L22" s="15" t="s">
        <v>222</v>
      </c>
      <c r="O22" s="15" t="s">
        <v>307</v>
      </c>
      <c r="R22" s="15" t="s">
        <v>380</v>
      </c>
      <c r="U22" s="15" t="s">
        <v>461</v>
      </c>
      <c r="X22" s="15" t="s">
        <v>490</v>
      </c>
      <c r="Y22" s="15" t="s">
        <v>490</v>
      </c>
      <c r="Z22" s="15" t="s">
        <v>490</v>
      </c>
      <c r="AA22" s="15" t="s">
        <v>490</v>
      </c>
      <c r="AB22" s="15" t="s">
        <v>490</v>
      </c>
      <c r="AC22" s="15" t="s">
        <v>490</v>
      </c>
      <c r="AD22" s="15" t="s">
        <v>490</v>
      </c>
      <c r="AE22" s="15" t="s">
        <v>490</v>
      </c>
    </row>
    <row r="23" spans="3:31" x14ac:dyDescent="0.25">
      <c r="C23" s="8" t="s">
        <v>44</v>
      </c>
      <c r="F23" s="15" t="s">
        <v>64</v>
      </c>
      <c r="I23" s="15" t="s">
        <v>199</v>
      </c>
      <c r="L23" s="15" t="s">
        <v>223</v>
      </c>
      <c r="O23" s="15" t="s">
        <v>308</v>
      </c>
      <c r="R23" s="15" t="s">
        <v>381</v>
      </c>
      <c r="U23" s="15" t="s">
        <v>450</v>
      </c>
      <c r="X23" s="15" t="s">
        <v>491</v>
      </c>
      <c r="Y23" s="15" t="s">
        <v>491</v>
      </c>
      <c r="Z23" s="15" t="s">
        <v>491</v>
      </c>
      <c r="AA23" s="15" t="s">
        <v>491</v>
      </c>
      <c r="AB23" s="15" t="s">
        <v>491</v>
      </c>
      <c r="AC23" s="15" t="s">
        <v>491</v>
      </c>
      <c r="AD23" s="15" t="s">
        <v>491</v>
      </c>
      <c r="AE23" s="15" t="s">
        <v>491</v>
      </c>
    </row>
    <row r="24" spans="3:31" x14ac:dyDescent="0.25">
      <c r="C24" s="8" t="s">
        <v>45</v>
      </c>
      <c r="F24" s="15" t="s">
        <v>65</v>
      </c>
      <c r="L24" s="15" t="s">
        <v>224</v>
      </c>
      <c r="O24" s="15" t="s">
        <v>309</v>
      </c>
      <c r="R24" s="15" t="s">
        <v>382</v>
      </c>
      <c r="U24" s="15" t="s">
        <v>448</v>
      </c>
    </row>
    <row r="25" spans="3:31" x14ac:dyDescent="0.25">
      <c r="C25" s="8" t="s">
        <v>46</v>
      </c>
      <c r="F25" s="15" t="s">
        <v>66</v>
      </c>
      <c r="L25" s="15" t="s">
        <v>225</v>
      </c>
      <c r="O25" s="15" t="s">
        <v>310</v>
      </c>
      <c r="R25" s="15" t="s">
        <v>383</v>
      </c>
      <c r="U25" s="15" t="s">
        <v>447</v>
      </c>
    </row>
    <row r="26" spans="3:31" ht="15.75" thickBot="1" x14ac:dyDescent="0.3">
      <c r="F26" s="15" t="s">
        <v>67</v>
      </c>
      <c r="L26" s="15" t="s">
        <v>226</v>
      </c>
      <c r="R26" s="15" t="s">
        <v>384</v>
      </c>
      <c r="U26" s="15" t="s">
        <v>462</v>
      </c>
    </row>
    <row r="27" spans="3:31" ht="15.75" thickBot="1" x14ac:dyDescent="0.3">
      <c r="C27" s="10" t="s">
        <v>3</v>
      </c>
      <c r="F27" s="15" t="s">
        <v>68</v>
      </c>
      <c r="I27" s="6" t="s">
        <v>31</v>
      </c>
      <c r="L27" s="15" t="s">
        <v>227</v>
      </c>
      <c r="R27" s="15" t="s">
        <v>385</v>
      </c>
    </row>
    <row r="28" spans="3:31" ht="15.75" thickBot="1" x14ac:dyDescent="0.3">
      <c r="C28" s="8" t="s">
        <v>286</v>
      </c>
      <c r="F28" s="15" t="s">
        <v>69</v>
      </c>
      <c r="I28" s="15" t="s">
        <v>253</v>
      </c>
      <c r="L28" s="15" t="s">
        <v>228</v>
      </c>
      <c r="R28" s="15" t="s">
        <v>386</v>
      </c>
    </row>
    <row r="29" spans="3:31" ht="15.75" thickBot="1" x14ac:dyDescent="0.3">
      <c r="C29" s="8" t="s">
        <v>287</v>
      </c>
      <c r="F29" s="15" t="s">
        <v>70</v>
      </c>
      <c r="I29" s="15" t="s">
        <v>254</v>
      </c>
      <c r="L29" s="15" t="s">
        <v>35</v>
      </c>
      <c r="R29" s="15" t="s">
        <v>387</v>
      </c>
      <c r="U29" s="9" t="s">
        <v>463</v>
      </c>
    </row>
    <row r="30" spans="3:31" x14ac:dyDescent="0.25">
      <c r="C30" s="8" t="s">
        <v>288</v>
      </c>
      <c r="F30" s="15" t="s">
        <v>71</v>
      </c>
      <c r="I30" s="15" t="s">
        <v>255</v>
      </c>
      <c r="L30" s="15" t="s">
        <v>36</v>
      </c>
      <c r="O30" s="6" t="s">
        <v>311</v>
      </c>
      <c r="R30" s="15" t="s">
        <v>388</v>
      </c>
      <c r="U30" s="15" t="s">
        <v>465</v>
      </c>
    </row>
    <row r="31" spans="3:31" x14ac:dyDescent="0.25">
      <c r="C31" s="8" t="s">
        <v>289</v>
      </c>
      <c r="F31" s="15" t="s">
        <v>72</v>
      </c>
      <c r="I31" s="15" t="s">
        <v>256</v>
      </c>
      <c r="L31" s="15" t="s">
        <v>229</v>
      </c>
      <c r="O31" s="15" t="s">
        <v>312</v>
      </c>
      <c r="R31" s="15" t="s">
        <v>389</v>
      </c>
      <c r="U31" s="15" t="s">
        <v>474</v>
      </c>
    </row>
    <row r="32" spans="3:31" x14ac:dyDescent="0.25">
      <c r="C32" s="8" t="s">
        <v>290</v>
      </c>
      <c r="F32" s="15" t="s">
        <v>73</v>
      </c>
      <c r="I32" s="15" t="s">
        <v>257</v>
      </c>
      <c r="L32" s="15" t="s">
        <v>230</v>
      </c>
      <c r="O32" s="15" t="s">
        <v>313</v>
      </c>
      <c r="R32" s="15" t="s">
        <v>390</v>
      </c>
      <c r="U32" s="15" t="s">
        <v>469</v>
      </c>
    </row>
    <row r="33" spans="3:21" x14ac:dyDescent="0.25">
      <c r="C33" s="8" t="s">
        <v>291</v>
      </c>
      <c r="F33" s="15" t="s">
        <v>74</v>
      </c>
      <c r="I33" s="15" t="s">
        <v>258</v>
      </c>
      <c r="L33" s="15" t="s">
        <v>33</v>
      </c>
      <c r="O33" s="15" t="s">
        <v>314</v>
      </c>
      <c r="R33" s="15" t="s">
        <v>391</v>
      </c>
      <c r="U33" s="15" t="s">
        <v>478</v>
      </c>
    </row>
    <row r="34" spans="3:21" x14ac:dyDescent="0.25">
      <c r="C34" s="8" t="s">
        <v>292</v>
      </c>
      <c r="F34" s="15" t="s">
        <v>75</v>
      </c>
      <c r="I34" s="15" t="s">
        <v>259</v>
      </c>
      <c r="L34" s="15" t="s">
        <v>231</v>
      </c>
      <c r="O34" s="15" t="s">
        <v>315</v>
      </c>
      <c r="R34" s="15" t="s">
        <v>392</v>
      </c>
      <c r="U34" s="15" t="s">
        <v>464</v>
      </c>
    </row>
    <row r="35" spans="3:21" ht="15.75" thickBot="1" x14ac:dyDescent="0.3">
      <c r="F35" s="15" t="s">
        <v>76</v>
      </c>
      <c r="I35" s="15" t="s">
        <v>260</v>
      </c>
      <c r="L35" s="15" t="s">
        <v>34</v>
      </c>
      <c r="O35" s="15" t="s">
        <v>316</v>
      </c>
      <c r="R35" s="15" t="s">
        <v>393</v>
      </c>
      <c r="U35" s="15" t="s">
        <v>467</v>
      </c>
    </row>
    <row r="36" spans="3:21" ht="15.75" thickBot="1" x14ac:dyDescent="0.3">
      <c r="C36" s="11" t="s">
        <v>437</v>
      </c>
      <c r="F36" s="15" t="s">
        <v>77</v>
      </c>
      <c r="I36" s="15" t="s">
        <v>261</v>
      </c>
      <c r="L36" s="15" t="s">
        <v>232</v>
      </c>
      <c r="O36" s="15" t="s">
        <v>317</v>
      </c>
      <c r="R36" s="15" t="s">
        <v>394</v>
      </c>
      <c r="U36" s="15" t="s">
        <v>468</v>
      </c>
    </row>
    <row r="37" spans="3:21" x14ac:dyDescent="0.25">
      <c r="C37" s="17" t="s">
        <v>438</v>
      </c>
      <c r="F37" s="15" t="s">
        <v>78</v>
      </c>
      <c r="I37" s="15" t="s">
        <v>262</v>
      </c>
      <c r="L37" s="15" t="s">
        <v>233</v>
      </c>
      <c r="O37" s="15" t="s">
        <v>318</v>
      </c>
      <c r="R37" s="15" t="s">
        <v>395</v>
      </c>
      <c r="U37" s="15" t="s">
        <v>472</v>
      </c>
    </row>
    <row r="38" spans="3:21" x14ac:dyDescent="0.25">
      <c r="C38" s="18" t="s">
        <v>439</v>
      </c>
      <c r="F38" s="15" t="s">
        <v>79</v>
      </c>
      <c r="I38" s="15" t="s">
        <v>263</v>
      </c>
      <c r="L38" s="15" t="s">
        <v>234</v>
      </c>
      <c r="O38" s="15" t="s">
        <v>319</v>
      </c>
      <c r="R38" s="15" t="s">
        <v>396</v>
      </c>
      <c r="U38" s="15" t="s">
        <v>473</v>
      </c>
    </row>
    <row r="39" spans="3:21" x14ac:dyDescent="0.25">
      <c r="C39" s="18" t="s">
        <v>440</v>
      </c>
      <c r="F39" s="15" t="s">
        <v>80</v>
      </c>
      <c r="I39" s="15" t="s">
        <v>264</v>
      </c>
      <c r="L39" s="15" t="s">
        <v>235</v>
      </c>
      <c r="O39" s="15" t="s">
        <v>320</v>
      </c>
      <c r="R39" s="15" t="s">
        <v>397</v>
      </c>
      <c r="U39" s="15" t="s">
        <v>466</v>
      </c>
    </row>
    <row r="40" spans="3:21" ht="15.75" thickBot="1" x14ac:dyDescent="0.3">
      <c r="F40" s="15" t="s">
        <v>81</v>
      </c>
      <c r="I40" s="15" t="s">
        <v>265</v>
      </c>
      <c r="L40" s="15" t="s">
        <v>236</v>
      </c>
      <c r="O40" s="15" t="s">
        <v>321</v>
      </c>
      <c r="R40" s="15" t="s">
        <v>398</v>
      </c>
      <c r="U40" s="15" t="s">
        <v>475</v>
      </c>
    </row>
    <row r="41" spans="3:21" x14ac:dyDescent="0.25">
      <c r="C41" s="12" t="s">
        <v>7</v>
      </c>
      <c r="F41" s="15" t="s">
        <v>82</v>
      </c>
      <c r="I41" s="15" t="s">
        <v>266</v>
      </c>
      <c r="L41" s="15" t="s">
        <v>237</v>
      </c>
      <c r="O41" s="15" t="s">
        <v>322</v>
      </c>
      <c r="R41" s="15" t="s">
        <v>399</v>
      </c>
      <c r="U41" s="15" t="s">
        <v>477</v>
      </c>
    </row>
    <row r="42" spans="3:21" x14ac:dyDescent="0.25">
      <c r="C42" s="8" t="s">
        <v>172</v>
      </c>
      <c r="F42" s="15" t="s">
        <v>83</v>
      </c>
      <c r="I42" s="15" t="s">
        <v>267</v>
      </c>
      <c r="L42" s="15" t="s">
        <v>238</v>
      </c>
      <c r="O42" s="15" t="s">
        <v>323</v>
      </c>
      <c r="R42" s="15" t="s">
        <v>400</v>
      </c>
      <c r="U42" s="15" t="s">
        <v>470</v>
      </c>
    </row>
    <row r="43" spans="3:21" x14ac:dyDescent="0.25">
      <c r="C43" s="8" t="s">
        <v>173</v>
      </c>
      <c r="F43" s="15" t="s">
        <v>84</v>
      </c>
      <c r="I43" s="15" t="s">
        <v>268</v>
      </c>
      <c r="L43" s="15" t="s">
        <v>239</v>
      </c>
      <c r="O43" s="15" t="s">
        <v>324</v>
      </c>
      <c r="R43" s="15" t="s">
        <v>401</v>
      </c>
      <c r="U43" s="15" t="s">
        <v>471</v>
      </c>
    </row>
    <row r="44" spans="3:21" x14ac:dyDescent="0.25">
      <c r="C44" s="8" t="s">
        <v>174</v>
      </c>
      <c r="F44" s="15" t="s">
        <v>85</v>
      </c>
      <c r="I44" s="15" t="s">
        <v>269</v>
      </c>
      <c r="L44" s="15" t="s">
        <v>240</v>
      </c>
      <c r="O44" s="15" t="s">
        <v>325</v>
      </c>
      <c r="R44" s="15" t="s">
        <v>402</v>
      </c>
      <c r="U44" s="15" t="s">
        <v>476</v>
      </c>
    </row>
    <row r="45" spans="3:21" x14ac:dyDescent="0.25">
      <c r="F45" s="15" t="s">
        <v>86</v>
      </c>
      <c r="I45" s="15" t="s">
        <v>270</v>
      </c>
      <c r="L45" s="15" t="s">
        <v>241</v>
      </c>
      <c r="O45" s="15" t="s">
        <v>326</v>
      </c>
      <c r="U45" s="15" t="s">
        <v>462</v>
      </c>
    </row>
    <row r="46" spans="3:21" ht="15.75" thickBot="1" x14ac:dyDescent="0.3">
      <c r="C46" s="13" t="s">
        <v>26</v>
      </c>
      <c r="F46" s="15" t="s">
        <v>87</v>
      </c>
      <c r="I46" s="15" t="s">
        <v>271</v>
      </c>
      <c r="L46" s="15" t="s">
        <v>242</v>
      </c>
      <c r="O46" s="15" t="s">
        <v>327</v>
      </c>
    </row>
    <row r="47" spans="3:21" ht="15.75" thickBot="1" x14ac:dyDescent="0.3">
      <c r="C47" s="8" t="s">
        <v>175</v>
      </c>
      <c r="F47" s="15" t="s">
        <v>88</v>
      </c>
      <c r="I47" s="15" t="s">
        <v>272</v>
      </c>
      <c r="L47" s="15" t="s">
        <v>37</v>
      </c>
      <c r="O47" s="15" t="s">
        <v>328</v>
      </c>
    </row>
    <row r="48" spans="3:21" x14ac:dyDescent="0.25">
      <c r="C48" s="8" t="s">
        <v>176</v>
      </c>
      <c r="F48" s="15" t="s">
        <v>89</v>
      </c>
      <c r="I48" s="15" t="s">
        <v>273</v>
      </c>
      <c r="L48" s="15" t="s">
        <v>243</v>
      </c>
      <c r="O48" s="15" t="s">
        <v>329</v>
      </c>
      <c r="R48" s="9" t="s">
        <v>556</v>
      </c>
    </row>
    <row r="49" spans="3:18" x14ac:dyDescent="0.25">
      <c r="C49" s="8" t="s">
        <v>177</v>
      </c>
      <c r="F49" s="15" t="s">
        <v>90</v>
      </c>
      <c r="I49" s="15" t="s">
        <v>274</v>
      </c>
      <c r="L49" s="15" t="s">
        <v>244</v>
      </c>
      <c r="O49" s="15" t="s">
        <v>330</v>
      </c>
      <c r="R49" s="15" t="s">
        <v>414</v>
      </c>
    </row>
    <row r="50" spans="3:18" x14ac:dyDescent="0.25">
      <c r="C50" s="8" t="s">
        <v>178</v>
      </c>
      <c r="F50" s="15" t="s">
        <v>91</v>
      </c>
      <c r="I50" s="15" t="s">
        <v>275</v>
      </c>
      <c r="L50" s="15" t="s">
        <v>245</v>
      </c>
      <c r="O50" s="15" t="s">
        <v>331</v>
      </c>
      <c r="R50" s="15" t="s">
        <v>405</v>
      </c>
    </row>
    <row r="51" spans="3:18" x14ac:dyDescent="0.25">
      <c r="C51" s="8" t="s">
        <v>179</v>
      </c>
      <c r="F51" s="15" t="s">
        <v>92</v>
      </c>
      <c r="I51" s="15" t="s">
        <v>276</v>
      </c>
      <c r="L51" s="15" t="s">
        <v>246</v>
      </c>
      <c r="O51" s="15" t="s">
        <v>332</v>
      </c>
      <c r="R51" s="15" t="s">
        <v>406</v>
      </c>
    </row>
    <row r="52" spans="3:18" x14ac:dyDescent="0.25">
      <c r="C52" s="8" t="s">
        <v>180</v>
      </c>
      <c r="F52" s="15" t="s">
        <v>93</v>
      </c>
      <c r="L52" s="15" t="s">
        <v>247</v>
      </c>
      <c r="O52" s="15" t="s">
        <v>333</v>
      </c>
      <c r="R52" s="15" t="s">
        <v>411</v>
      </c>
    </row>
    <row r="53" spans="3:18" x14ac:dyDescent="0.25">
      <c r="C53" s="8" t="s">
        <v>181</v>
      </c>
      <c r="F53" s="15" t="s">
        <v>94</v>
      </c>
      <c r="L53" s="15" t="s">
        <v>248</v>
      </c>
      <c r="O53" s="15" t="s">
        <v>334</v>
      </c>
      <c r="R53" s="15" t="s">
        <v>412</v>
      </c>
    </row>
    <row r="54" spans="3:18" x14ac:dyDescent="0.25">
      <c r="C54" s="8" t="s">
        <v>182</v>
      </c>
      <c r="F54" s="15" t="s">
        <v>95</v>
      </c>
      <c r="L54" s="15" t="s">
        <v>249</v>
      </c>
      <c r="O54" s="15" t="s">
        <v>335</v>
      </c>
      <c r="R54" s="15" t="s">
        <v>410</v>
      </c>
    </row>
    <row r="55" spans="3:18" x14ac:dyDescent="0.25">
      <c r="C55" s="8" t="s">
        <v>183</v>
      </c>
      <c r="F55" s="15" t="s">
        <v>96</v>
      </c>
      <c r="L55" s="15" t="s">
        <v>250</v>
      </c>
      <c r="O55" s="15" t="s">
        <v>336</v>
      </c>
      <c r="R55" s="15" t="s">
        <v>413</v>
      </c>
    </row>
    <row r="56" spans="3:18" ht="15.75" thickBot="1" x14ac:dyDescent="0.3">
      <c r="F56" s="15" t="s">
        <v>97</v>
      </c>
      <c r="L56" s="15" t="s">
        <v>251</v>
      </c>
      <c r="O56" s="15" t="s">
        <v>337</v>
      </c>
      <c r="R56" s="15" t="s">
        <v>403</v>
      </c>
    </row>
    <row r="57" spans="3:18" x14ac:dyDescent="0.25">
      <c r="C57" s="14" t="s">
        <v>28</v>
      </c>
      <c r="F57" s="15" t="s">
        <v>98</v>
      </c>
      <c r="L57" s="15" t="s">
        <v>252</v>
      </c>
      <c r="O57" s="15" t="s">
        <v>338</v>
      </c>
      <c r="R57" s="15" t="s">
        <v>409</v>
      </c>
    </row>
    <row r="58" spans="3:18" x14ac:dyDescent="0.25">
      <c r="C58" s="8" t="s">
        <v>201</v>
      </c>
      <c r="F58" s="15" t="s">
        <v>99</v>
      </c>
      <c r="O58" s="15" t="s">
        <v>339</v>
      </c>
      <c r="R58" s="15" t="s">
        <v>408</v>
      </c>
    </row>
    <row r="59" spans="3:18" x14ac:dyDescent="0.25">
      <c r="C59" s="8" t="s">
        <v>202</v>
      </c>
      <c r="F59" s="15" t="s">
        <v>100</v>
      </c>
      <c r="O59" s="15" t="s">
        <v>340</v>
      </c>
      <c r="R59" s="15" t="s">
        <v>404</v>
      </c>
    </row>
    <row r="60" spans="3:18" x14ac:dyDescent="0.25">
      <c r="C60" s="8" t="s">
        <v>203</v>
      </c>
      <c r="F60" s="15" t="s">
        <v>101</v>
      </c>
      <c r="O60" s="15" t="s">
        <v>341</v>
      </c>
      <c r="R60" s="15" t="s">
        <v>407</v>
      </c>
    </row>
    <row r="61" spans="3:18" x14ac:dyDescent="0.25">
      <c r="C61" s="8" t="s">
        <v>204</v>
      </c>
      <c r="F61" s="15" t="s">
        <v>102</v>
      </c>
      <c r="O61" s="15" t="s">
        <v>342</v>
      </c>
    </row>
    <row r="62" spans="3:18" x14ac:dyDescent="0.25">
      <c r="C62" s="8" t="s">
        <v>205</v>
      </c>
      <c r="F62" s="15" t="s">
        <v>103</v>
      </c>
      <c r="O62" s="15" t="s">
        <v>343</v>
      </c>
    </row>
    <row r="63" spans="3:18" ht="15.75" thickBot="1" x14ac:dyDescent="0.3">
      <c r="F63" s="15" t="s">
        <v>104</v>
      </c>
      <c r="O63" s="15" t="s">
        <v>344</v>
      </c>
    </row>
    <row r="64" spans="3:18" x14ac:dyDescent="0.25">
      <c r="C64" s="12" t="s">
        <v>281</v>
      </c>
      <c r="F64" s="15" t="s">
        <v>105</v>
      </c>
      <c r="O64" s="15" t="s">
        <v>345</v>
      </c>
    </row>
    <row r="65" spans="3:15" x14ac:dyDescent="0.25">
      <c r="C65" s="8" t="s">
        <v>277</v>
      </c>
      <c r="F65" s="15" t="s">
        <v>106</v>
      </c>
      <c r="O65" s="15" t="s">
        <v>346</v>
      </c>
    </row>
    <row r="66" spans="3:15" x14ac:dyDescent="0.25">
      <c r="C66" s="8" t="s">
        <v>370</v>
      </c>
      <c r="F66" s="15" t="s">
        <v>107</v>
      </c>
      <c r="O66" s="15" t="s">
        <v>347</v>
      </c>
    </row>
    <row r="67" spans="3:15" x14ac:dyDescent="0.25">
      <c r="C67" s="8" t="s">
        <v>278</v>
      </c>
      <c r="F67" s="15" t="s">
        <v>108</v>
      </c>
      <c r="O67" s="15" t="s">
        <v>348</v>
      </c>
    </row>
    <row r="68" spans="3:15" x14ac:dyDescent="0.25">
      <c r="C68" s="8" t="s">
        <v>279</v>
      </c>
      <c r="F68" s="15" t="s">
        <v>109</v>
      </c>
      <c r="O68" s="15" t="s">
        <v>349</v>
      </c>
    </row>
    <row r="69" spans="3:15" x14ac:dyDescent="0.25">
      <c r="C69" s="8" t="s">
        <v>280</v>
      </c>
      <c r="F69" s="15" t="s">
        <v>110</v>
      </c>
      <c r="O69" s="15" t="s">
        <v>350</v>
      </c>
    </row>
    <row r="70" spans="3:15" ht="15.75" thickBot="1" x14ac:dyDescent="0.3">
      <c r="F70" s="15" t="s">
        <v>111</v>
      </c>
      <c r="O70" s="15" t="s">
        <v>351</v>
      </c>
    </row>
    <row r="71" spans="3:15" ht="15.75" thickBot="1" x14ac:dyDescent="0.3">
      <c r="C71" s="10" t="s">
        <v>282</v>
      </c>
      <c r="F71" s="15" t="s">
        <v>112</v>
      </c>
      <c r="O71" s="15" t="s">
        <v>352</v>
      </c>
    </row>
    <row r="72" spans="3:15" x14ac:dyDescent="0.25">
      <c r="C72" s="8" t="s">
        <v>283</v>
      </c>
      <c r="F72" s="15" t="s">
        <v>113</v>
      </c>
      <c r="O72" s="15" t="s">
        <v>353</v>
      </c>
    </row>
    <row r="73" spans="3:15" x14ac:dyDescent="0.25">
      <c r="C73" s="8" t="s">
        <v>284</v>
      </c>
      <c r="F73" s="15" t="s">
        <v>114</v>
      </c>
      <c r="O73" s="15" t="s">
        <v>354</v>
      </c>
    </row>
    <row r="74" spans="3:15" ht="15.75" thickBot="1" x14ac:dyDescent="0.3">
      <c r="F74" s="15" t="s">
        <v>115</v>
      </c>
      <c r="O74" s="15" t="s">
        <v>355</v>
      </c>
    </row>
    <row r="75" spans="3:15" ht="15.75" thickBot="1" x14ac:dyDescent="0.3">
      <c r="C75" s="10" t="s">
        <v>285</v>
      </c>
      <c r="F75" s="15" t="s">
        <v>116</v>
      </c>
    </row>
    <row r="76" spans="3:15" x14ac:dyDescent="0.25">
      <c r="C76" s="8" t="s">
        <v>366</v>
      </c>
      <c r="F76" s="15" t="s">
        <v>117</v>
      </c>
    </row>
    <row r="77" spans="3:15" x14ac:dyDescent="0.25">
      <c r="C77" s="8" t="s">
        <v>367</v>
      </c>
      <c r="F77" s="15" t="s">
        <v>118</v>
      </c>
    </row>
    <row r="78" spans="3:15" x14ac:dyDescent="0.25">
      <c r="C78" s="8" t="s">
        <v>368</v>
      </c>
      <c r="F78" s="15" t="s">
        <v>119</v>
      </c>
    </row>
    <row r="79" spans="3:15" x14ac:dyDescent="0.25">
      <c r="C79" s="8" t="s">
        <v>369</v>
      </c>
      <c r="F79" s="15" t="s">
        <v>120</v>
      </c>
    </row>
    <row r="80" spans="3:15" ht="15.75" thickBot="1" x14ac:dyDescent="0.3">
      <c r="F80" s="15" t="s">
        <v>121</v>
      </c>
    </row>
    <row r="81" spans="3:6" ht="15.75" thickBot="1" x14ac:dyDescent="0.3">
      <c r="C81" s="10" t="s">
        <v>15</v>
      </c>
      <c r="F81" s="15" t="s">
        <v>122</v>
      </c>
    </row>
    <row r="82" spans="3:6" x14ac:dyDescent="0.25">
      <c r="C82" s="8" t="s">
        <v>364</v>
      </c>
      <c r="F82" s="15" t="s">
        <v>123</v>
      </c>
    </row>
    <row r="83" spans="3:6" x14ac:dyDescent="0.25">
      <c r="C83" s="8" t="s">
        <v>365</v>
      </c>
      <c r="F83" s="15" t="s">
        <v>124</v>
      </c>
    </row>
    <row r="84" spans="3:6" ht="15.75" thickBot="1" x14ac:dyDescent="0.3">
      <c r="F84" s="15" t="s">
        <v>125</v>
      </c>
    </row>
    <row r="85" spans="3:6" ht="15.75" thickBot="1" x14ac:dyDescent="0.3">
      <c r="C85" s="10" t="s">
        <v>356</v>
      </c>
      <c r="F85" s="15" t="s">
        <v>126</v>
      </c>
    </row>
    <row r="86" spans="3:6" x14ac:dyDescent="0.25">
      <c r="C86" s="8" t="s">
        <v>364</v>
      </c>
      <c r="F86" s="15" t="s">
        <v>127</v>
      </c>
    </row>
    <row r="87" spans="3:6" x14ac:dyDescent="0.25">
      <c r="C87" s="8" t="s">
        <v>365</v>
      </c>
      <c r="F87" s="15" t="s">
        <v>128</v>
      </c>
    </row>
    <row r="88" spans="3:6" ht="15.75" thickBot="1" x14ac:dyDescent="0.3">
      <c r="F88" s="15" t="s">
        <v>129</v>
      </c>
    </row>
    <row r="89" spans="3:6" ht="15.75" thickBot="1" x14ac:dyDescent="0.3">
      <c r="C89" s="10" t="s">
        <v>357</v>
      </c>
      <c r="F89" s="15" t="s">
        <v>130</v>
      </c>
    </row>
    <row r="90" spans="3:6" x14ac:dyDescent="0.25">
      <c r="C90" s="8" t="s">
        <v>359</v>
      </c>
      <c r="F90" s="15" t="s">
        <v>131</v>
      </c>
    </row>
    <row r="91" spans="3:6" x14ac:dyDescent="0.25">
      <c r="C91" s="8" t="s">
        <v>360</v>
      </c>
      <c r="F91" s="15" t="s">
        <v>132</v>
      </c>
    </row>
    <row r="92" spans="3:6" x14ac:dyDescent="0.25">
      <c r="C92" s="8" t="s">
        <v>358</v>
      </c>
      <c r="F92" s="15" t="s">
        <v>133</v>
      </c>
    </row>
    <row r="93" spans="3:6" x14ac:dyDescent="0.25">
      <c r="C93" s="8" t="s">
        <v>361</v>
      </c>
      <c r="F93" s="15" t="s">
        <v>134</v>
      </c>
    </row>
    <row r="94" spans="3:6" x14ac:dyDescent="0.25">
      <c r="C94" s="8" t="s">
        <v>362</v>
      </c>
      <c r="F94" s="15" t="s">
        <v>135</v>
      </c>
    </row>
    <row r="95" spans="3:6" x14ac:dyDescent="0.25">
      <c r="C95" s="8" t="s">
        <v>363</v>
      </c>
      <c r="F95" s="15" t="s">
        <v>136</v>
      </c>
    </row>
    <row r="96" spans="3:6" ht="15.75" thickBot="1" x14ac:dyDescent="0.3">
      <c r="F96" s="15" t="s">
        <v>137</v>
      </c>
    </row>
    <row r="97" spans="3:6" x14ac:dyDescent="0.25">
      <c r="C97" s="9" t="s">
        <v>415</v>
      </c>
      <c r="F97" s="15" t="s">
        <v>138</v>
      </c>
    </row>
    <row r="98" spans="3:6" x14ac:dyDescent="0.25">
      <c r="C98" s="8" t="s">
        <v>584</v>
      </c>
      <c r="F98" s="15" t="s">
        <v>139</v>
      </c>
    </row>
    <row r="99" spans="3:6" ht="14.45" customHeight="1" x14ac:dyDescent="0.25">
      <c r="C99" s="15" t="s">
        <v>418</v>
      </c>
      <c r="F99" s="15" t="s">
        <v>140</v>
      </c>
    </row>
    <row r="100" spans="3:6" x14ac:dyDescent="0.25">
      <c r="C100" s="15" t="s">
        <v>425</v>
      </c>
      <c r="F100" s="15" t="s">
        <v>141</v>
      </c>
    </row>
    <row r="101" spans="3:6" x14ac:dyDescent="0.25">
      <c r="C101" s="15" t="s">
        <v>427</v>
      </c>
      <c r="F101" s="15" t="s">
        <v>141</v>
      </c>
    </row>
    <row r="102" spans="3:6" x14ac:dyDescent="0.25">
      <c r="C102" s="15" t="s">
        <v>423</v>
      </c>
      <c r="F102" s="15" t="s">
        <v>142</v>
      </c>
    </row>
    <row r="103" spans="3:6" x14ac:dyDescent="0.25">
      <c r="C103" s="15" t="s">
        <v>424</v>
      </c>
      <c r="F103" s="15" t="s">
        <v>143</v>
      </c>
    </row>
    <row r="104" spans="3:6" x14ac:dyDescent="0.25">
      <c r="C104" s="15" t="s">
        <v>420</v>
      </c>
      <c r="F104" s="15" t="s">
        <v>144</v>
      </c>
    </row>
    <row r="105" spans="3:6" x14ac:dyDescent="0.25">
      <c r="C105" s="15" t="s">
        <v>416</v>
      </c>
      <c r="F105" s="15" t="s">
        <v>145</v>
      </c>
    </row>
    <row r="106" spans="3:6" x14ac:dyDescent="0.25">
      <c r="C106" s="15" t="s">
        <v>430</v>
      </c>
      <c r="F106" s="15" t="s">
        <v>146</v>
      </c>
    </row>
    <row r="107" spans="3:6" x14ac:dyDescent="0.25">
      <c r="C107" s="15" t="s">
        <v>428</v>
      </c>
      <c r="F107" s="15" t="s">
        <v>147</v>
      </c>
    </row>
    <row r="108" spans="3:6" x14ac:dyDescent="0.25">
      <c r="C108" s="15" t="s">
        <v>426</v>
      </c>
      <c r="F108" s="15" t="s">
        <v>148</v>
      </c>
    </row>
    <row r="109" spans="3:6" x14ac:dyDescent="0.25">
      <c r="C109" s="15" t="s">
        <v>421</v>
      </c>
      <c r="F109" s="15" t="s">
        <v>149</v>
      </c>
    </row>
    <row r="110" spans="3:6" x14ac:dyDescent="0.25">
      <c r="C110" s="15" t="s">
        <v>433</v>
      </c>
      <c r="F110" s="15" t="s">
        <v>150</v>
      </c>
    </row>
    <row r="111" spans="3:6" x14ac:dyDescent="0.25">
      <c r="C111" s="15" t="s">
        <v>417</v>
      </c>
      <c r="F111" s="15" t="s">
        <v>151</v>
      </c>
    </row>
    <row r="112" spans="3:6" x14ac:dyDescent="0.25">
      <c r="C112" s="15" t="s">
        <v>431</v>
      </c>
      <c r="F112" s="15" t="s">
        <v>152</v>
      </c>
    </row>
    <row r="113" spans="3:6" x14ac:dyDescent="0.25">
      <c r="C113" s="15" t="s">
        <v>376</v>
      </c>
      <c r="F113" s="15" t="s">
        <v>153</v>
      </c>
    </row>
    <row r="114" spans="3:6" x14ac:dyDescent="0.25">
      <c r="C114" s="15" t="s">
        <v>432</v>
      </c>
      <c r="F114" s="15" t="s">
        <v>154</v>
      </c>
    </row>
    <row r="115" spans="3:6" x14ac:dyDescent="0.25">
      <c r="C115" s="15" t="s">
        <v>429</v>
      </c>
      <c r="F115" s="15" t="s">
        <v>155</v>
      </c>
    </row>
    <row r="116" spans="3:6" x14ac:dyDescent="0.25">
      <c r="C116" s="15" t="s">
        <v>419</v>
      </c>
      <c r="F116" s="15" t="s">
        <v>156</v>
      </c>
    </row>
    <row r="117" spans="3:6" x14ac:dyDescent="0.25">
      <c r="C117" s="15" t="s">
        <v>422</v>
      </c>
      <c r="F117" s="15" t="s">
        <v>157</v>
      </c>
    </row>
    <row r="118" spans="3:6" x14ac:dyDescent="0.25">
      <c r="F118" s="15" t="s">
        <v>158</v>
      </c>
    </row>
    <row r="119" spans="3:6" x14ac:dyDescent="0.25">
      <c r="F119" s="15" t="s">
        <v>159</v>
      </c>
    </row>
    <row r="120" spans="3:6" x14ac:dyDescent="0.25">
      <c r="F120" s="15" t="s">
        <v>160</v>
      </c>
    </row>
    <row r="121" spans="3:6" x14ac:dyDescent="0.25">
      <c r="F121" s="15" t="s">
        <v>161</v>
      </c>
    </row>
    <row r="122" spans="3:6" x14ac:dyDescent="0.25">
      <c r="F122" s="15" t="s">
        <v>161</v>
      </c>
    </row>
    <row r="123" spans="3:6" x14ac:dyDescent="0.25">
      <c r="F123" s="15" t="s">
        <v>162</v>
      </c>
    </row>
    <row r="124" spans="3:6" x14ac:dyDescent="0.25">
      <c r="F124" s="16" t="s">
        <v>163</v>
      </c>
    </row>
    <row r="125" spans="3:6" x14ac:dyDescent="0.25">
      <c r="F125" s="15" t="s">
        <v>164</v>
      </c>
    </row>
    <row r="126" spans="3:6" x14ac:dyDescent="0.25">
      <c r="F126" s="15" t="s">
        <v>165</v>
      </c>
    </row>
    <row r="127" spans="3:6" x14ac:dyDescent="0.25">
      <c r="F127" s="15" t="s">
        <v>166</v>
      </c>
    </row>
    <row r="128" spans="3:6" x14ac:dyDescent="0.25">
      <c r="F128" s="15" t="s">
        <v>167</v>
      </c>
    </row>
    <row r="129" spans="6:6" x14ac:dyDescent="0.25">
      <c r="F129" s="15" t="s">
        <v>168</v>
      </c>
    </row>
    <row r="130" spans="6:6" x14ac:dyDescent="0.25">
      <c r="F130" s="15" t="s">
        <v>169</v>
      </c>
    </row>
    <row r="131" spans="6:6" x14ac:dyDescent="0.25">
      <c r="F131" s="15" t="s">
        <v>170</v>
      </c>
    </row>
    <row r="132" spans="6:6" x14ac:dyDescent="0.25">
      <c r="F132" s="15" t="s">
        <v>171</v>
      </c>
    </row>
  </sheetData>
  <sortState xmlns:xlrd2="http://schemas.microsoft.com/office/spreadsheetml/2017/richdata2" ref="U30:U44">
    <sortCondition ref="U30:U44"/>
  </sortState>
  <mergeCells count="1">
    <mergeCell ref="X14:Z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EBE3-0EA0-4A46-9110-2D8238D32DA6}">
  <dimension ref="C4:R47"/>
  <sheetViews>
    <sheetView topLeftCell="A12" zoomScaleNormal="100" workbookViewId="0">
      <selection activeCell="I22" sqref="I22:J23"/>
    </sheetView>
  </sheetViews>
  <sheetFormatPr defaultRowHeight="15" x14ac:dyDescent="0.25"/>
  <cols>
    <col min="3" max="3" width="1.5703125" customWidth="1"/>
    <col min="4" max="4" width="14.28515625" bestFit="1" customWidth="1"/>
    <col min="5" max="5" width="1.5703125" customWidth="1"/>
    <col min="6" max="7" width="15.7109375" customWidth="1"/>
    <col min="8" max="8" width="1.7109375" customWidth="1"/>
    <col min="9" max="10" width="15.7109375" customWidth="1"/>
    <col min="11" max="11" width="1.7109375" customWidth="1"/>
    <col min="12" max="13" width="15.7109375" customWidth="1"/>
    <col min="14" max="14" width="1.7109375" customWidth="1"/>
    <col min="15" max="16" width="15.7109375" customWidth="1"/>
    <col min="17" max="17" width="1.7109375" customWidth="1"/>
    <col min="18" max="18" width="15.7109375" customWidth="1"/>
  </cols>
  <sheetData>
    <row r="4" spans="3:18" x14ac:dyDescent="0.25">
      <c r="D4" t="s">
        <v>609</v>
      </c>
    </row>
    <row r="6" spans="3:18" ht="15.75" thickBot="1" x14ac:dyDescent="0.3"/>
    <row r="7" spans="3:18" x14ac:dyDescent="0.25">
      <c r="C7" s="41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3"/>
    </row>
    <row r="8" spans="3:18" x14ac:dyDescent="0.25">
      <c r="C8" s="44"/>
      <c r="D8" s="60" t="e" vm="1">
        <v>#VALUE!</v>
      </c>
      <c r="F8" s="59" t="s">
        <v>586</v>
      </c>
      <c r="G8" s="59"/>
      <c r="H8" s="59"/>
      <c r="I8" s="59"/>
      <c r="J8" s="59"/>
      <c r="P8" s="29" t="s">
        <v>574</v>
      </c>
      <c r="Q8" s="45"/>
      <c r="R8" s="40"/>
    </row>
    <row r="9" spans="3:18" x14ac:dyDescent="0.25">
      <c r="C9" s="44"/>
      <c r="D9" s="60"/>
      <c r="F9" s="59"/>
      <c r="G9" s="59"/>
      <c r="H9" s="59"/>
      <c r="I9" s="59"/>
      <c r="J9" s="59"/>
      <c r="P9" s="39" t="s">
        <v>575</v>
      </c>
      <c r="Q9" s="45"/>
    </row>
    <row r="10" spans="3:18" x14ac:dyDescent="0.25">
      <c r="C10" s="44"/>
      <c r="Q10" s="45"/>
    </row>
    <row r="11" spans="3:18" x14ac:dyDescent="0.25">
      <c r="C11" s="44"/>
      <c r="D11" s="69" t="s">
        <v>562</v>
      </c>
      <c r="F11" s="39" t="s">
        <v>1</v>
      </c>
      <c r="G11" s="39" t="s">
        <v>566</v>
      </c>
      <c r="H11" s="29"/>
      <c r="I11" s="39" t="s">
        <v>569</v>
      </c>
      <c r="J11" s="39" t="s">
        <v>567</v>
      </c>
      <c r="K11" s="29"/>
      <c r="L11" s="39" t="s">
        <v>571</v>
      </c>
      <c r="M11" s="39" t="s">
        <v>572</v>
      </c>
      <c r="N11" s="29"/>
      <c r="O11" s="39" t="s">
        <v>603</v>
      </c>
      <c r="P11" s="39" t="s">
        <v>573</v>
      </c>
      <c r="Q11" s="46"/>
      <c r="R11" s="29"/>
    </row>
    <row r="12" spans="3:18" x14ac:dyDescent="0.25">
      <c r="C12" s="44"/>
      <c r="D12" s="69"/>
      <c r="Q12" s="45"/>
    </row>
    <row r="13" spans="3:18" x14ac:dyDescent="0.25">
      <c r="C13" s="44"/>
      <c r="F13" s="55" t="s">
        <v>568</v>
      </c>
      <c r="G13" s="55"/>
      <c r="H13" s="29"/>
      <c r="I13" s="55" t="s">
        <v>572</v>
      </c>
      <c r="J13" s="55"/>
      <c r="K13" s="29"/>
      <c r="L13" s="56" t="s">
        <v>604</v>
      </c>
      <c r="M13" s="55"/>
      <c r="N13" s="29"/>
      <c r="O13" s="55" t="s">
        <v>578</v>
      </c>
      <c r="P13" s="55"/>
      <c r="Q13" s="46"/>
      <c r="R13" s="29"/>
    </row>
    <row r="14" spans="3:18" x14ac:dyDescent="0.25">
      <c r="C14" s="44"/>
      <c r="D14" s="55" t="s">
        <v>564</v>
      </c>
      <c r="F14" s="55"/>
      <c r="G14" s="55"/>
      <c r="H14" s="29"/>
      <c r="I14" s="55"/>
      <c r="J14" s="55"/>
      <c r="K14" s="29"/>
      <c r="L14" s="55"/>
      <c r="M14" s="55"/>
      <c r="N14" s="29"/>
      <c r="O14" s="55"/>
      <c r="P14" s="55"/>
      <c r="Q14" s="46"/>
      <c r="R14" s="29"/>
    </row>
    <row r="15" spans="3:18" x14ac:dyDescent="0.25">
      <c r="C15" s="44"/>
      <c r="D15" s="55"/>
      <c r="Q15" s="45"/>
    </row>
    <row r="16" spans="3:18" x14ac:dyDescent="0.25">
      <c r="C16" s="44"/>
      <c r="D16" s="55" t="s">
        <v>563</v>
      </c>
      <c r="F16" s="55" t="s">
        <v>570</v>
      </c>
      <c r="G16" s="55"/>
      <c r="H16" s="29"/>
      <c r="I16" s="55" t="s">
        <v>571</v>
      </c>
      <c r="J16" s="55"/>
      <c r="K16" s="29"/>
      <c r="L16" s="56" t="s">
        <v>605</v>
      </c>
      <c r="M16" s="55"/>
      <c r="N16" s="29"/>
      <c r="O16" s="55" t="s">
        <v>579</v>
      </c>
      <c r="P16" s="55"/>
      <c r="Q16" s="46"/>
      <c r="R16" s="29"/>
    </row>
    <row r="17" spans="3:18" x14ac:dyDescent="0.25">
      <c r="C17" s="44"/>
      <c r="D17" s="55"/>
      <c r="F17" s="55"/>
      <c r="G17" s="55"/>
      <c r="H17" s="29"/>
      <c r="I17" s="55"/>
      <c r="J17" s="55"/>
      <c r="K17" s="29"/>
      <c r="L17" s="55"/>
      <c r="M17" s="55"/>
      <c r="N17" s="29"/>
      <c r="O17" s="55"/>
      <c r="P17" s="55"/>
      <c r="Q17" s="46"/>
      <c r="R17" s="29"/>
    </row>
    <row r="18" spans="3:18" x14ac:dyDescent="0.25">
      <c r="C18" s="44"/>
      <c r="D18" s="55" t="s">
        <v>565</v>
      </c>
      <c r="Q18" s="45"/>
    </row>
    <row r="19" spans="3:18" ht="14.45" customHeight="1" x14ac:dyDescent="0.25">
      <c r="C19" s="44"/>
      <c r="D19" s="55"/>
      <c r="F19" s="56" t="s">
        <v>581</v>
      </c>
      <c r="G19" s="55"/>
      <c r="H19" s="29"/>
      <c r="I19" s="56" t="s">
        <v>582</v>
      </c>
      <c r="J19" s="55"/>
      <c r="K19" s="29"/>
      <c r="L19" s="57" t="s">
        <v>585</v>
      </c>
      <c r="M19" s="58"/>
      <c r="N19" s="58"/>
      <c r="O19" s="58"/>
      <c r="P19" s="58"/>
      <c r="Q19" s="47"/>
      <c r="R19" s="8"/>
    </row>
    <row r="20" spans="3:18" x14ac:dyDescent="0.25">
      <c r="C20" s="44"/>
      <c r="D20" s="55" t="s">
        <v>580</v>
      </c>
      <c r="F20" s="55"/>
      <c r="G20" s="55"/>
      <c r="H20" s="29"/>
      <c r="I20" s="55"/>
      <c r="J20" s="55"/>
      <c r="K20" s="29"/>
      <c r="L20" s="58"/>
      <c r="M20" s="58"/>
      <c r="N20" s="58"/>
      <c r="O20" s="58"/>
      <c r="P20" s="58"/>
      <c r="Q20" s="47"/>
      <c r="R20" s="8"/>
    </row>
    <row r="21" spans="3:18" x14ac:dyDescent="0.25">
      <c r="C21" s="44"/>
      <c r="D21" s="55"/>
      <c r="L21" s="58"/>
      <c r="M21" s="58"/>
      <c r="N21" s="58"/>
      <c r="O21" s="58"/>
      <c r="P21" s="58"/>
      <c r="Q21" s="47"/>
      <c r="R21" s="8"/>
    </row>
    <row r="22" spans="3:18" s="38" customFormat="1" x14ac:dyDescent="0.25">
      <c r="C22" s="48"/>
      <c r="F22" s="56" t="s">
        <v>576</v>
      </c>
      <c r="G22" s="56"/>
      <c r="I22" s="56" t="s">
        <v>577</v>
      </c>
      <c r="J22" s="56"/>
      <c r="L22" s="58"/>
      <c r="M22" s="58"/>
      <c r="N22" s="58"/>
      <c r="O22" s="58"/>
      <c r="P22" s="58"/>
      <c r="Q22" s="47"/>
      <c r="R22" s="8"/>
    </row>
    <row r="23" spans="3:18" s="38" customFormat="1" ht="36.6" customHeight="1" x14ac:dyDescent="0.25">
      <c r="C23" s="48"/>
      <c r="F23" s="56"/>
      <c r="G23" s="56"/>
      <c r="I23" s="56"/>
      <c r="J23" s="56"/>
      <c r="L23" s="58"/>
      <c r="M23" s="58"/>
      <c r="N23" s="58"/>
      <c r="O23" s="58"/>
      <c r="P23" s="58"/>
      <c r="Q23" s="47"/>
      <c r="R23" s="8"/>
    </row>
    <row r="24" spans="3:18" ht="15.75" thickBot="1" x14ac:dyDescent="0.3">
      <c r="C24" s="49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1"/>
    </row>
    <row r="26" spans="3:18" x14ac:dyDescent="0.25">
      <c r="D26" s="15"/>
    </row>
    <row r="29" spans="3:18" ht="15.75" thickBot="1" x14ac:dyDescent="0.3"/>
    <row r="30" spans="3:18" x14ac:dyDescent="0.25">
      <c r="C30" s="41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3"/>
    </row>
    <row r="31" spans="3:18" x14ac:dyDescent="0.25">
      <c r="C31" s="44"/>
      <c r="D31" s="60" t="e" vm="1">
        <v>#VALUE!</v>
      </c>
      <c r="F31" s="59" t="s">
        <v>592</v>
      </c>
      <c r="G31" s="59"/>
      <c r="H31" s="59"/>
      <c r="I31" s="59"/>
      <c r="J31" s="59"/>
      <c r="P31" s="29" t="s">
        <v>574</v>
      </c>
      <c r="Q31" s="45"/>
    </row>
    <row r="32" spans="3:18" x14ac:dyDescent="0.25">
      <c r="C32" s="44"/>
      <c r="D32" s="60"/>
      <c r="F32" s="59"/>
      <c r="G32" s="59"/>
      <c r="H32" s="59"/>
      <c r="I32" s="59"/>
      <c r="J32" s="59"/>
      <c r="P32" s="39" t="s">
        <v>575</v>
      </c>
      <c r="Q32" s="45"/>
    </row>
    <row r="33" spans="3:17" x14ac:dyDescent="0.25">
      <c r="C33" s="44"/>
      <c r="Q33" s="45"/>
    </row>
    <row r="34" spans="3:17" x14ac:dyDescent="0.25">
      <c r="C34" s="44"/>
      <c r="D34" s="61" t="s">
        <v>562</v>
      </c>
      <c r="F34" s="39" t="s">
        <v>1</v>
      </c>
      <c r="G34" s="39" t="s">
        <v>566</v>
      </c>
      <c r="H34" s="29"/>
      <c r="I34" s="39" t="s">
        <v>569</v>
      </c>
      <c r="J34" s="39" t="s">
        <v>567</v>
      </c>
      <c r="K34" s="29"/>
      <c r="N34" s="29"/>
      <c r="P34" s="39" t="s">
        <v>573</v>
      </c>
      <c r="Q34" s="46"/>
    </row>
    <row r="35" spans="3:17" x14ac:dyDescent="0.25">
      <c r="C35" s="44"/>
      <c r="D35" s="62"/>
      <c r="Q35" s="45"/>
    </row>
    <row r="36" spans="3:17" ht="14.45" customHeight="1" x14ac:dyDescent="0.25">
      <c r="C36" s="44"/>
      <c r="F36" s="55" t="s">
        <v>587</v>
      </c>
      <c r="G36" s="55"/>
      <c r="H36" s="29"/>
      <c r="I36" s="55" t="s">
        <v>594</v>
      </c>
      <c r="J36" s="55"/>
      <c r="K36" s="29"/>
      <c r="L36" s="55" t="s">
        <v>597</v>
      </c>
      <c r="M36" s="55"/>
      <c r="N36" s="29"/>
      <c r="O36" s="63" t="s">
        <v>600</v>
      </c>
      <c r="P36" s="64"/>
      <c r="Q36" s="46"/>
    </row>
    <row r="37" spans="3:17" x14ac:dyDescent="0.25">
      <c r="C37" s="44"/>
      <c r="D37" s="67" t="s">
        <v>564</v>
      </c>
      <c r="F37" s="55"/>
      <c r="G37" s="55"/>
      <c r="H37" s="29"/>
      <c r="I37" s="55"/>
      <c r="J37" s="55"/>
      <c r="K37" s="29"/>
      <c r="L37" s="55"/>
      <c r="M37" s="55"/>
      <c r="N37" s="29"/>
      <c r="O37" s="65"/>
      <c r="P37" s="66"/>
      <c r="Q37" s="46"/>
    </row>
    <row r="38" spans="3:17" x14ac:dyDescent="0.25">
      <c r="C38" s="44"/>
      <c r="D38" s="68"/>
      <c r="O38" s="4"/>
      <c r="P38" s="4"/>
      <c r="Q38" s="45"/>
    </row>
    <row r="39" spans="3:17" x14ac:dyDescent="0.25">
      <c r="C39" s="44"/>
      <c r="D39" s="55" t="s">
        <v>563</v>
      </c>
      <c r="F39" s="56" t="s">
        <v>588</v>
      </c>
      <c r="G39" s="56"/>
      <c r="H39" s="29"/>
      <c r="I39" s="55" t="s">
        <v>595</v>
      </c>
      <c r="J39" s="55"/>
      <c r="K39" s="29"/>
      <c r="L39" s="55" t="s">
        <v>598</v>
      </c>
      <c r="M39" s="55"/>
      <c r="N39" s="29"/>
      <c r="O39" s="55" t="s">
        <v>601</v>
      </c>
      <c r="P39" s="55"/>
      <c r="Q39" s="46"/>
    </row>
    <row r="40" spans="3:17" x14ac:dyDescent="0.25">
      <c r="C40" s="44"/>
      <c r="D40" s="55"/>
      <c r="F40" s="56"/>
      <c r="G40" s="56"/>
      <c r="H40" s="29"/>
      <c r="I40" s="55"/>
      <c r="J40" s="55"/>
      <c r="K40" s="29"/>
      <c r="L40" s="55"/>
      <c r="M40" s="55"/>
      <c r="N40" s="29"/>
      <c r="O40" s="55"/>
      <c r="P40" s="55"/>
      <c r="Q40" s="46"/>
    </row>
    <row r="41" spans="3:17" x14ac:dyDescent="0.25">
      <c r="C41" s="44"/>
      <c r="D41" s="55" t="s">
        <v>565</v>
      </c>
      <c r="O41" s="4"/>
      <c r="P41" s="4"/>
      <c r="Q41" s="45"/>
    </row>
    <row r="42" spans="3:17" ht="14.45" customHeight="1" x14ac:dyDescent="0.25">
      <c r="C42" s="44"/>
      <c r="D42" s="55"/>
      <c r="F42" s="56" t="s">
        <v>593</v>
      </c>
      <c r="G42" s="56"/>
      <c r="H42" s="29"/>
      <c r="I42" s="55" t="s">
        <v>590</v>
      </c>
      <c r="J42" s="55"/>
      <c r="K42" s="29"/>
      <c r="L42" s="55" t="s">
        <v>596</v>
      </c>
      <c r="M42" s="55"/>
      <c r="O42" s="55" t="s">
        <v>602</v>
      </c>
      <c r="P42" s="55"/>
      <c r="Q42" s="47"/>
    </row>
    <row r="43" spans="3:17" x14ac:dyDescent="0.25">
      <c r="C43" s="44"/>
      <c r="D43" s="55" t="s">
        <v>580</v>
      </c>
      <c r="F43" s="56"/>
      <c r="G43" s="56"/>
      <c r="H43" s="29"/>
      <c r="I43" s="55"/>
      <c r="J43" s="55"/>
      <c r="K43" s="29"/>
      <c r="L43" s="55"/>
      <c r="M43" s="55"/>
      <c r="O43" s="55"/>
      <c r="P43" s="55"/>
      <c r="Q43" s="47"/>
    </row>
    <row r="44" spans="3:17" x14ac:dyDescent="0.25">
      <c r="C44" s="44"/>
      <c r="D44" s="55"/>
      <c r="O44" s="4"/>
      <c r="P44" s="4"/>
      <c r="Q44" s="47"/>
    </row>
    <row r="45" spans="3:17" ht="14.45" customHeight="1" x14ac:dyDescent="0.25">
      <c r="C45" s="48"/>
      <c r="D45" s="38"/>
      <c r="E45" s="38"/>
      <c r="F45" s="55" t="s">
        <v>589</v>
      </c>
      <c r="G45" s="55"/>
      <c r="H45" s="38"/>
      <c r="I45" s="55" t="s">
        <v>591</v>
      </c>
      <c r="J45" s="55"/>
      <c r="K45" s="38"/>
      <c r="L45" s="55" t="s">
        <v>599</v>
      </c>
      <c r="M45" s="55"/>
      <c r="O45" s="4"/>
      <c r="P45" s="4"/>
      <c r="Q45" s="47"/>
    </row>
    <row r="46" spans="3:17" x14ac:dyDescent="0.25">
      <c r="C46" s="48"/>
      <c r="D46" s="38"/>
      <c r="E46" s="38"/>
      <c r="F46" s="55"/>
      <c r="G46" s="55"/>
      <c r="H46" s="38"/>
      <c r="I46" s="55"/>
      <c r="J46" s="55"/>
      <c r="K46" s="38"/>
      <c r="L46" s="55"/>
      <c r="M46" s="55"/>
      <c r="O46" s="4"/>
      <c r="P46" s="4"/>
      <c r="Q46" s="47"/>
    </row>
    <row r="47" spans="3:17" ht="15.75" thickBot="1" x14ac:dyDescent="0.3">
      <c r="C47" s="49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1"/>
    </row>
  </sheetData>
  <mergeCells count="42">
    <mergeCell ref="F16:G17"/>
    <mergeCell ref="I13:J14"/>
    <mergeCell ref="L13:M14"/>
    <mergeCell ref="D8:D9"/>
    <mergeCell ref="F13:G14"/>
    <mergeCell ref="D11:D12"/>
    <mergeCell ref="D14:D15"/>
    <mergeCell ref="F36:G37"/>
    <mergeCell ref="I36:J37"/>
    <mergeCell ref="L36:M37"/>
    <mergeCell ref="O36:P37"/>
    <mergeCell ref="D37:D38"/>
    <mergeCell ref="L19:P23"/>
    <mergeCell ref="F8:J9"/>
    <mergeCell ref="D31:D32"/>
    <mergeCell ref="F31:J32"/>
    <mergeCell ref="D34:D35"/>
    <mergeCell ref="D20:D21"/>
    <mergeCell ref="D16:D17"/>
    <mergeCell ref="D18:D19"/>
    <mergeCell ref="F19:G20"/>
    <mergeCell ref="F22:G23"/>
    <mergeCell ref="I16:J17"/>
    <mergeCell ref="I22:J23"/>
    <mergeCell ref="L16:M17"/>
    <mergeCell ref="O13:P14"/>
    <mergeCell ref="O16:P17"/>
    <mergeCell ref="I19:J20"/>
    <mergeCell ref="D39:D40"/>
    <mergeCell ref="F39:G40"/>
    <mergeCell ref="I39:J40"/>
    <mergeCell ref="L39:M40"/>
    <mergeCell ref="D41:D42"/>
    <mergeCell ref="F42:G43"/>
    <mergeCell ref="I42:J43"/>
    <mergeCell ref="D43:D44"/>
    <mergeCell ref="O39:P40"/>
    <mergeCell ref="O42:P43"/>
    <mergeCell ref="F45:G46"/>
    <mergeCell ref="I45:J46"/>
    <mergeCell ref="L42:M43"/>
    <mergeCell ref="L45:M4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00D5-7037-477D-A3A9-162B7AD1DF30}">
  <dimension ref="B2:AH20"/>
  <sheetViews>
    <sheetView zoomScaleNormal="100" workbookViewId="0">
      <selection activeCell="AB5" sqref="AB5:AF6"/>
    </sheetView>
  </sheetViews>
  <sheetFormatPr defaultRowHeight="15" x14ac:dyDescent="0.25"/>
  <cols>
    <col min="2" max="2" width="9.7109375" customWidth="1"/>
    <col min="3" max="3" width="18.7109375" customWidth="1"/>
    <col min="4" max="4" width="10.7109375" customWidth="1"/>
    <col min="6" max="6" width="14.7109375" customWidth="1"/>
    <col min="8" max="10" width="12.7109375" customWidth="1"/>
    <col min="11" max="11" width="13.28515625" bestFit="1" customWidth="1"/>
    <col min="12" max="12" width="26.7109375" bestFit="1" customWidth="1"/>
    <col min="13" max="13" width="29.42578125" customWidth="1"/>
    <col min="14" max="14" width="20.7109375" customWidth="1"/>
    <col min="18" max="18" width="12.7109375" customWidth="1"/>
    <col min="19" max="19" width="13.7109375" customWidth="1"/>
    <col min="20" max="20" width="25.7109375" customWidth="1"/>
    <col min="21" max="21" width="12.5703125" bestFit="1" customWidth="1"/>
    <col min="22" max="22" width="14.7109375" customWidth="1"/>
    <col min="23" max="23" width="10.7109375" customWidth="1"/>
    <col min="24" max="24" width="13.7109375" customWidth="1"/>
    <col min="26" max="27" width="15.7109375" customWidth="1"/>
    <col min="29" max="29" width="10.28515625" bestFit="1" customWidth="1"/>
    <col min="30" max="30" width="12.7109375" customWidth="1"/>
    <col min="31" max="31" width="10.28515625" bestFit="1" customWidth="1"/>
    <col min="33" max="33" width="11.28515625" bestFit="1" customWidth="1"/>
    <col min="34" max="34" width="9.5703125" bestFit="1" customWidth="1"/>
  </cols>
  <sheetData>
    <row r="2" spans="2:34" x14ac:dyDescent="0.25">
      <c r="B2" t="s">
        <v>608</v>
      </c>
    </row>
    <row r="4" spans="2:34" ht="15.75" thickBot="1" x14ac:dyDescent="0.3">
      <c r="E4" s="24"/>
      <c r="F4" s="24">
        <f ca="1">TODAY()</f>
        <v>46180</v>
      </c>
    </row>
    <row r="5" spans="2:34" ht="28.9" customHeight="1" thickBot="1" x14ac:dyDescent="0.3">
      <c r="B5" s="80" t="s">
        <v>0</v>
      </c>
      <c r="C5" s="76" t="s">
        <v>22</v>
      </c>
      <c r="D5" s="76" t="s">
        <v>23</v>
      </c>
      <c r="E5" s="76" t="s">
        <v>1</v>
      </c>
      <c r="F5" s="77" t="s">
        <v>550</v>
      </c>
      <c r="G5" s="78"/>
      <c r="H5" s="78"/>
      <c r="I5" s="79"/>
      <c r="J5" s="74" t="s">
        <v>4</v>
      </c>
      <c r="K5" s="75"/>
      <c r="L5" s="76" t="s">
        <v>6</v>
      </c>
      <c r="M5" s="70" t="s">
        <v>553</v>
      </c>
      <c r="N5" s="70" t="s">
        <v>583</v>
      </c>
      <c r="O5" s="70" t="s">
        <v>7</v>
      </c>
      <c r="P5" s="72" t="s">
        <v>8</v>
      </c>
      <c r="Q5" s="73"/>
      <c r="R5" s="70" t="s">
        <v>9</v>
      </c>
      <c r="S5" s="70" t="s">
        <v>10</v>
      </c>
      <c r="T5" s="76" t="s">
        <v>551</v>
      </c>
      <c r="U5" s="76" t="s">
        <v>11</v>
      </c>
      <c r="V5" s="77" t="s">
        <v>12</v>
      </c>
      <c r="W5" s="78"/>
      <c r="X5" s="79"/>
      <c r="Y5" s="77" t="s">
        <v>13</v>
      </c>
      <c r="Z5" s="78"/>
      <c r="AA5" s="79"/>
      <c r="AB5" s="77" t="s">
        <v>14</v>
      </c>
      <c r="AC5" s="78"/>
      <c r="AD5" s="78"/>
      <c r="AE5" s="78"/>
      <c r="AF5" s="79"/>
      <c r="AG5" s="70" t="s">
        <v>15</v>
      </c>
      <c r="AH5" s="70" t="s">
        <v>30</v>
      </c>
    </row>
    <row r="6" spans="2:34" s="4" customFormat="1" ht="60.75" thickBot="1" x14ac:dyDescent="0.3">
      <c r="B6" s="80"/>
      <c r="C6" s="76"/>
      <c r="D6" s="76"/>
      <c r="E6" s="76"/>
      <c r="F6" s="1" t="s">
        <v>2</v>
      </c>
      <c r="G6" s="1" t="s">
        <v>3</v>
      </c>
      <c r="H6" s="2" t="s">
        <v>24</v>
      </c>
      <c r="I6" s="2" t="s">
        <v>25</v>
      </c>
      <c r="J6" s="5" t="s">
        <v>27</v>
      </c>
      <c r="K6" s="5" t="s">
        <v>5</v>
      </c>
      <c r="L6" s="76"/>
      <c r="M6" s="71"/>
      <c r="N6" s="71"/>
      <c r="O6" s="71"/>
      <c r="P6" s="3" t="s">
        <v>29</v>
      </c>
      <c r="Q6" s="3" t="s">
        <v>26</v>
      </c>
      <c r="R6" s="71"/>
      <c r="S6" s="71"/>
      <c r="T6" s="76"/>
      <c r="U6" s="76"/>
      <c r="V6" s="1" t="s">
        <v>32</v>
      </c>
      <c r="W6" s="1" t="s">
        <v>281</v>
      </c>
      <c r="X6" s="1" t="s">
        <v>552</v>
      </c>
      <c r="Y6" s="1" t="s">
        <v>16</v>
      </c>
      <c r="Z6" s="1" t="s">
        <v>17</v>
      </c>
      <c r="AA6" s="1" t="s">
        <v>18</v>
      </c>
      <c r="AB6" s="1" t="s">
        <v>282</v>
      </c>
      <c r="AC6" s="1" t="s">
        <v>19</v>
      </c>
      <c r="AD6" s="1" t="s">
        <v>20</v>
      </c>
      <c r="AE6" s="1" t="s">
        <v>21</v>
      </c>
      <c r="AF6" s="1" t="s">
        <v>285</v>
      </c>
      <c r="AG6" s="71"/>
      <c r="AH6" s="71"/>
    </row>
    <row r="7" spans="2:34" x14ac:dyDescent="0.25">
      <c r="F7" s="25">
        <v>46023</v>
      </c>
      <c r="N7" s="29"/>
      <c r="W7" t="s">
        <v>277</v>
      </c>
      <c r="AC7" s="24">
        <f>IF(W7="HPRI",F7+10,F7+5)</f>
        <v>46033</v>
      </c>
      <c r="AE7" s="26">
        <v>46030</v>
      </c>
      <c r="AF7" t="str">
        <f ca="1">IF(AE7=AC7,"Closed",IF(AE7&gt;AC7,"Closed Overdue",IF($F$4&lt;AC7,"Open","Overdue")))</f>
        <v>Overdue</v>
      </c>
    </row>
    <row r="8" spans="2:34" x14ac:dyDescent="0.25">
      <c r="N8" s="29"/>
    </row>
    <row r="9" spans="2:34" x14ac:dyDescent="0.25">
      <c r="N9" s="29"/>
    </row>
    <row r="10" spans="2:34" x14ac:dyDescent="0.25">
      <c r="N10" s="29"/>
    </row>
    <row r="11" spans="2:34" x14ac:dyDescent="0.25">
      <c r="N11" s="29"/>
    </row>
    <row r="12" spans="2:34" x14ac:dyDescent="0.25">
      <c r="N12" s="29"/>
    </row>
    <row r="13" spans="2:34" x14ac:dyDescent="0.25">
      <c r="N13" s="29"/>
    </row>
    <row r="14" spans="2:34" x14ac:dyDescent="0.25">
      <c r="N14" s="29"/>
    </row>
    <row r="15" spans="2:34" x14ac:dyDescent="0.25">
      <c r="N15" s="29"/>
    </row>
    <row r="16" spans="2:34" x14ac:dyDescent="0.25">
      <c r="N16" s="29"/>
    </row>
    <row r="17" spans="14:14" x14ac:dyDescent="0.25">
      <c r="N17" s="29"/>
    </row>
    <row r="18" spans="14:14" x14ac:dyDescent="0.25">
      <c r="N18" s="29"/>
    </row>
    <row r="19" spans="14:14" x14ac:dyDescent="0.25">
      <c r="N19" s="29"/>
    </row>
    <row r="20" spans="14:14" x14ac:dyDescent="0.25">
      <c r="N20" s="29"/>
    </row>
  </sheetData>
  <mergeCells count="20">
    <mergeCell ref="B5:B6"/>
    <mergeCell ref="C5:C6"/>
    <mergeCell ref="D5:D6"/>
    <mergeCell ref="E5:E6"/>
    <mergeCell ref="F5:I5"/>
    <mergeCell ref="AH5:AH6"/>
    <mergeCell ref="P5:Q5"/>
    <mergeCell ref="J5:K5"/>
    <mergeCell ref="AG5:AG6"/>
    <mergeCell ref="U5:U6"/>
    <mergeCell ref="Y5:AA5"/>
    <mergeCell ref="AB5:AF5"/>
    <mergeCell ref="R5:R6"/>
    <mergeCell ref="S5:S6"/>
    <mergeCell ref="T5:T6"/>
    <mergeCell ref="L5:L6"/>
    <mergeCell ref="M5:M6"/>
    <mergeCell ref="N5:N6"/>
    <mergeCell ref="V5:X5"/>
    <mergeCell ref="O5:O6"/>
  </mergeCells>
  <conditionalFormatting sqref="L5">
    <cfRule type="duplicateValues" dxfId="1" priority="5"/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847D014E-D44D-4240-B37F-3A77BFF181B9}">
          <x14:formula1>
            <xm:f>Data!$C$6:$C$11</xm:f>
          </x14:formula1>
          <xm:sqref>E7:E20</xm:sqref>
        </x14:dataValidation>
        <x14:dataValidation type="list" allowBlank="1" showInputMessage="1" showErrorMessage="1" xr:uid="{A2266D7F-ABEF-4E60-96AD-C513CA96F0DF}">
          <x14:formula1>
            <xm:f>Data!$C$28:$C$34</xm:f>
          </x14:formula1>
          <xm:sqref>G7:G20</xm:sqref>
        </x14:dataValidation>
        <x14:dataValidation type="list" allowBlank="1" showInputMessage="1" showErrorMessage="1" xr:uid="{6535FDCA-C691-4176-8676-22B9E36DFC61}">
          <x14:formula1>
            <xm:f>Data!$C$18:$C$25</xm:f>
          </x14:formula1>
          <xm:sqref>I7:I20</xm:sqref>
        </x14:dataValidation>
        <x14:dataValidation type="list" allowBlank="1" showInputMessage="1" showErrorMessage="1" xr:uid="{D9399A5B-5173-46E1-9CF3-6EB006F299E6}">
          <x14:formula1>
            <xm:f>Data!$F$6:$F$132</xm:f>
          </x14:formula1>
          <xm:sqref>J7:J20</xm:sqref>
        </x14:dataValidation>
        <x14:dataValidation type="list" allowBlank="1" showInputMessage="1" showErrorMessage="1" xr:uid="{B8448E7E-0AE4-4D1B-BAAB-DC162BA66CF9}">
          <x14:formula1>
            <xm:f>Data!$C$42:$C$44</xm:f>
          </x14:formula1>
          <xm:sqref>O7:O20</xm:sqref>
        </x14:dataValidation>
        <x14:dataValidation type="list" allowBlank="1" showInputMessage="1" showErrorMessage="1" xr:uid="{FE585EBB-4C50-4B7D-BEDF-6DCFFE4BF010}">
          <x14:formula1>
            <xm:f>Data!$C$47:$C$55</xm:f>
          </x14:formula1>
          <xm:sqref>Q7:Q20</xm:sqref>
        </x14:dataValidation>
        <x14:dataValidation type="list" allowBlank="1" showInputMessage="1" showErrorMessage="1" xr:uid="{0EDC4D6C-C4E4-413A-A674-E817BDF6B076}">
          <x14:formula1>
            <xm:f>Data!$I$6:$I$23</xm:f>
          </x14:formula1>
          <xm:sqref>R7:R20</xm:sqref>
        </x14:dataValidation>
        <x14:dataValidation type="list" allowBlank="1" showInputMessage="1" showErrorMessage="1" xr:uid="{4E68E432-0E44-419A-9568-752E4DE9E4EF}">
          <x14:formula1>
            <xm:f>Data!$L$6:$L$57</xm:f>
          </x14:formula1>
          <xm:sqref>U7:U20</xm:sqref>
        </x14:dataValidation>
        <x14:dataValidation type="list" allowBlank="1" showInputMessage="1" showErrorMessage="1" xr:uid="{A612B583-44EF-4C1E-9097-394810966477}">
          <x14:formula1>
            <xm:f>Data!$O$6:$O$17</xm:f>
          </x14:formula1>
          <xm:sqref>V7:V20</xm:sqref>
        </x14:dataValidation>
        <x14:dataValidation type="list" allowBlank="1" showInputMessage="1" showErrorMessage="1" xr:uid="{5B6BDE9A-FF4C-44C0-A5F7-8D8C774D063D}">
          <x14:formula1>
            <xm:f>Data!$C$65:$C$69</xm:f>
          </x14:formula1>
          <xm:sqref>W7:X20</xm:sqref>
        </x14:dataValidation>
        <x14:dataValidation type="list" allowBlank="1" showInputMessage="1" showErrorMessage="1" xr:uid="{E355E7BF-22FC-48D9-ACF3-802446A79EC4}">
          <x14:formula1>
            <xm:f>Data!$C$72:$C$73</xm:f>
          </x14:formula1>
          <xm:sqref>AB7:AB20</xm:sqref>
        </x14:dataValidation>
        <x14:dataValidation type="list" allowBlank="1" showInputMessage="1" showErrorMessage="1" xr:uid="{3937AACF-A9D9-4EC0-B97E-82938D1C362C}">
          <x14:formula1>
            <xm:f>Data!$C$76:$C$79</xm:f>
          </x14:formula1>
          <xm:sqref>AF7:AF20</xm:sqref>
        </x14:dataValidation>
        <x14:dataValidation type="list" allowBlank="1" showInputMessage="1" showErrorMessage="1" xr:uid="{629AF988-0895-4258-B933-D4E335138369}">
          <x14:formula1>
            <xm:f>Data!$I$28:$I$51</xm:f>
          </x14:formula1>
          <xm:sqref>T7:T20</xm:sqref>
        </x14:dataValidation>
        <x14:dataValidation type="list" allowBlank="1" showInputMessage="1" showErrorMessage="1" xr:uid="{A0F65302-746D-4247-A818-3F1D9C480F45}">
          <x14:formula1>
            <xm:f>Data!$C$98:$C$101</xm:f>
          </x14:formula1>
          <xm:sqref>N8:N20</xm:sqref>
        </x14:dataValidation>
        <x14:dataValidation type="list" allowBlank="1" showInputMessage="1" showErrorMessage="1" xr:uid="{E8502B9F-FCE6-4287-A561-E6A5C9D55F51}">
          <x14:formula1>
            <xm:f>Data!$C$98:$C$118</xm:f>
          </x14:formula1>
          <xm:sqref>N7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BE05-4E82-4D33-8EDD-1FBB17CFF943}">
  <dimension ref="B3:AR20"/>
  <sheetViews>
    <sheetView zoomScale="85" zoomScaleNormal="85" workbookViewId="0">
      <selection activeCell="Q6" sqref="Q6"/>
    </sheetView>
  </sheetViews>
  <sheetFormatPr defaultRowHeight="15" x14ac:dyDescent="0.25"/>
  <cols>
    <col min="2" max="2" width="9.7109375" customWidth="1"/>
    <col min="3" max="3" width="18.7109375" customWidth="1"/>
    <col min="5" max="5" width="14.7109375" customWidth="1"/>
    <col min="7" max="9" width="12.7109375" customWidth="1"/>
    <col min="10" max="10" width="13.28515625" bestFit="1" customWidth="1"/>
    <col min="11" max="11" width="26.7109375" bestFit="1" customWidth="1"/>
    <col min="12" max="15" width="26.7109375" customWidth="1"/>
    <col min="19" max="19" width="12.7109375" customWidth="1"/>
    <col min="20" max="20" width="13.7109375" customWidth="1"/>
    <col min="21" max="22" width="12.7109375" customWidth="1"/>
    <col min="23" max="23" width="12.5703125" bestFit="1" customWidth="1"/>
    <col min="24" max="24" width="10.7109375" customWidth="1"/>
    <col min="25" max="27" width="13.5703125" customWidth="1"/>
    <col min="29" max="33" width="15.7109375" customWidth="1"/>
    <col min="34" max="36" width="22.7109375" customWidth="1"/>
    <col min="37" max="44" width="25.7109375" customWidth="1"/>
  </cols>
  <sheetData>
    <row r="3" spans="2:44" x14ac:dyDescent="0.25">
      <c r="B3" t="s">
        <v>607</v>
      </c>
    </row>
    <row r="5" spans="2:44" ht="28.9" customHeight="1" x14ac:dyDescent="0.25">
      <c r="B5" s="81" t="s">
        <v>0</v>
      </c>
      <c r="C5" s="81" t="s">
        <v>22</v>
      </c>
      <c r="D5" s="81" t="s">
        <v>1</v>
      </c>
      <c r="E5" s="84" t="s">
        <v>501</v>
      </c>
      <c r="F5" s="85"/>
      <c r="G5" s="85"/>
      <c r="H5" s="86"/>
      <c r="I5" s="90" t="s">
        <v>500</v>
      </c>
      <c r="J5" s="90"/>
      <c r="K5" s="81" t="s">
        <v>6</v>
      </c>
      <c r="L5" s="81" t="s">
        <v>303</v>
      </c>
      <c r="M5" s="81" t="s">
        <v>375</v>
      </c>
      <c r="N5" s="81" t="s">
        <v>556</v>
      </c>
      <c r="O5" s="81" t="s">
        <v>415</v>
      </c>
      <c r="P5" s="85" t="s">
        <v>502</v>
      </c>
      <c r="Q5" s="85"/>
      <c r="R5" s="85"/>
      <c r="S5" s="85"/>
      <c r="T5" s="85"/>
      <c r="U5" s="86"/>
      <c r="V5" s="81" t="s">
        <v>554</v>
      </c>
      <c r="W5" s="81" t="s">
        <v>11</v>
      </c>
      <c r="X5" s="82" t="s">
        <v>281</v>
      </c>
      <c r="Y5" s="87" t="s">
        <v>13</v>
      </c>
      <c r="Z5" s="88"/>
      <c r="AA5" s="88"/>
      <c r="AB5" s="88"/>
      <c r="AC5" s="88"/>
      <c r="AD5" s="89"/>
      <c r="AE5" s="32"/>
      <c r="AF5" s="23"/>
      <c r="AG5" s="23"/>
      <c r="AH5" s="81" t="s">
        <v>504</v>
      </c>
      <c r="AI5" s="81"/>
      <c r="AJ5" s="81"/>
      <c r="AK5" s="81"/>
      <c r="AL5" s="81"/>
      <c r="AM5" s="81"/>
      <c r="AN5" s="81"/>
      <c r="AO5" s="81"/>
      <c r="AP5" s="81"/>
      <c r="AQ5" s="81"/>
      <c r="AR5" s="81"/>
    </row>
    <row r="6" spans="2:44" s="4" customFormat="1" ht="105.75" thickBot="1" x14ac:dyDescent="0.3">
      <c r="B6" s="81"/>
      <c r="C6" s="81"/>
      <c r="D6" s="81"/>
      <c r="E6" s="22" t="s">
        <v>2</v>
      </c>
      <c r="F6" s="27" t="s">
        <v>3</v>
      </c>
      <c r="G6" s="21" t="s">
        <v>24</v>
      </c>
      <c r="H6" s="21" t="s">
        <v>25</v>
      </c>
      <c r="I6" s="22" t="s">
        <v>27</v>
      </c>
      <c r="J6" s="22" t="s">
        <v>5</v>
      </c>
      <c r="K6" s="81"/>
      <c r="L6" s="81"/>
      <c r="M6" s="81"/>
      <c r="N6" s="81"/>
      <c r="O6" s="81"/>
      <c r="P6" s="22" t="s">
        <v>7</v>
      </c>
      <c r="Q6" s="22" t="s">
        <v>503</v>
      </c>
      <c r="R6" s="23" t="s">
        <v>26</v>
      </c>
      <c r="S6" s="22" t="s">
        <v>9</v>
      </c>
      <c r="T6" s="22" t="s">
        <v>10</v>
      </c>
      <c r="U6" s="22" t="s">
        <v>28</v>
      </c>
      <c r="V6" s="81"/>
      <c r="W6" s="81"/>
      <c r="X6" s="83"/>
      <c r="Y6" s="23" t="s">
        <v>441</v>
      </c>
      <c r="Z6" s="23" t="s">
        <v>463</v>
      </c>
      <c r="AA6" s="23" t="s">
        <v>552</v>
      </c>
      <c r="AB6" s="23" t="s">
        <v>16</v>
      </c>
      <c r="AC6" s="23" t="s">
        <v>17</v>
      </c>
      <c r="AD6" s="23" t="s">
        <v>18</v>
      </c>
      <c r="AE6" s="23" t="s">
        <v>555</v>
      </c>
      <c r="AF6" s="23" t="s">
        <v>544</v>
      </c>
      <c r="AG6" s="23" t="s">
        <v>545</v>
      </c>
      <c r="AH6" s="22" t="s">
        <v>487</v>
      </c>
      <c r="AI6" s="22" t="s">
        <v>488</v>
      </c>
      <c r="AJ6" s="22" t="s">
        <v>489</v>
      </c>
      <c r="AK6" s="22" t="s">
        <v>492</v>
      </c>
      <c r="AL6" s="22" t="s">
        <v>493</v>
      </c>
      <c r="AM6" s="22" t="s">
        <v>494</v>
      </c>
      <c r="AN6" s="22" t="s">
        <v>495</v>
      </c>
      <c r="AO6" s="22" t="s">
        <v>496</v>
      </c>
      <c r="AP6" s="22" t="s">
        <v>497</v>
      </c>
      <c r="AQ6" s="22" t="s">
        <v>498</v>
      </c>
      <c r="AR6" s="22" t="s">
        <v>499</v>
      </c>
    </row>
    <row r="7" spans="2:44" x14ac:dyDescent="0.25">
      <c r="O7" s="29"/>
    </row>
    <row r="8" spans="2:44" x14ac:dyDescent="0.25">
      <c r="O8" s="29"/>
    </row>
    <row r="9" spans="2:44" x14ac:dyDescent="0.25">
      <c r="O9" s="29"/>
    </row>
    <row r="10" spans="2:44" x14ac:dyDescent="0.25">
      <c r="O10" s="29"/>
    </row>
    <row r="11" spans="2:44" x14ac:dyDescent="0.25">
      <c r="O11" s="29"/>
    </row>
    <row r="12" spans="2:44" x14ac:dyDescent="0.25">
      <c r="O12" s="29"/>
    </row>
    <row r="13" spans="2:44" x14ac:dyDescent="0.25">
      <c r="O13" s="29"/>
    </row>
    <row r="14" spans="2:44" x14ac:dyDescent="0.25">
      <c r="O14" s="29"/>
    </row>
    <row r="15" spans="2:44" x14ac:dyDescent="0.25">
      <c r="O15" s="29"/>
    </row>
    <row r="16" spans="2:44" x14ac:dyDescent="0.25">
      <c r="O16" s="29"/>
    </row>
    <row r="17" spans="15:15" x14ac:dyDescent="0.25">
      <c r="O17" s="29"/>
    </row>
    <row r="18" spans="15:15" x14ac:dyDescent="0.25">
      <c r="O18" s="29"/>
    </row>
    <row r="19" spans="15:15" x14ac:dyDescent="0.25">
      <c r="O19" s="29"/>
    </row>
    <row r="20" spans="15:15" x14ac:dyDescent="0.25">
      <c r="O20" s="29"/>
    </row>
  </sheetData>
  <mergeCells count="16">
    <mergeCell ref="B5:B6"/>
    <mergeCell ref="C5:C6"/>
    <mergeCell ref="D5:D6"/>
    <mergeCell ref="I5:J5"/>
    <mergeCell ref="K5:K6"/>
    <mergeCell ref="V5:V6"/>
    <mergeCell ref="AH5:AR5"/>
    <mergeCell ref="X5:X6"/>
    <mergeCell ref="E5:H5"/>
    <mergeCell ref="L5:L6"/>
    <mergeCell ref="M5:M6"/>
    <mergeCell ref="N5:N6"/>
    <mergeCell ref="O5:O6"/>
    <mergeCell ref="W5:W6"/>
    <mergeCell ref="Y5:AD5"/>
    <mergeCell ref="P5:U5"/>
  </mergeCells>
  <conditionalFormatting sqref="K5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3BF67073-425A-4372-B85E-965EC47CF084}">
          <x14:formula1>
            <xm:f>Data!$C$6:$C$11</xm:f>
          </x14:formula1>
          <xm:sqref>D7:D150</xm:sqref>
        </x14:dataValidation>
        <x14:dataValidation type="list" allowBlank="1" showInputMessage="1" showErrorMessage="1" xr:uid="{E99F74B9-7F74-462B-A92E-4A176441B1FB}">
          <x14:formula1>
            <xm:f>Data!$C$28:$C$34</xm:f>
          </x14:formula1>
          <xm:sqref>F7:F20</xm:sqref>
        </x14:dataValidation>
        <x14:dataValidation type="list" allowBlank="1" showInputMessage="1" showErrorMessage="1" xr:uid="{6C17035F-9025-423C-8C18-BFE6B42786EB}">
          <x14:formula1>
            <xm:f>Data!$C$18:$C$25</xm:f>
          </x14:formula1>
          <xm:sqref>H7:H20</xm:sqref>
        </x14:dataValidation>
        <x14:dataValidation type="list" allowBlank="1" showInputMessage="1" showErrorMessage="1" xr:uid="{2516B911-BE8B-4E3E-A5FD-29E7AE2CBAFC}">
          <x14:formula1>
            <xm:f>Data!$F$6:$F$132</xm:f>
          </x14:formula1>
          <xm:sqref>I7:I20</xm:sqref>
        </x14:dataValidation>
        <x14:dataValidation type="list" allowBlank="1" showInputMessage="1" showErrorMessage="1" xr:uid="{3AAD6D3E-3186-42FE-966A-3FD818352680}">
          <x14:formula1>
            <xm:f>Data!$R$6:$R$15</xm:f>
          </x14:formula1>
          <xm:sqref>L7:L20</xm:sqref>
        </x14:dataValidation>
        <x14:dataValidation type="list" allowBlank="1" showInputMessage="1" showErrorMessage="1" xr:uid="{A7ED0BEA-C7B9-4484-A11F-A735E6D33733}">
          <x14:formula1>
            <xm:f>Data!$R$19:$R$44</xm:f>
          </x14:formula1>
          <xm:sqref>M7:M20</xm:sqref>
        </x14:dataValidation>
        <x14:dataValidation type="list" allowBlank="1" showInputMessage="1" showErrorMessage="1" xr:uid="{73942950-D368-4951-AE3E-BAB7C46A8292}">
          <x14:formula1>
            <xm:f>Data!$R$49:$R$60</xm:f>
          </x14:formula1>
          <xm:sqref>N7:N21</xm:sqref>
        </x14:dataValidation>
        <x14:dataValidation type="list" allowBlank="1" showInputMessage="1" showErrorMessage="1" xr:uid="{A511E22E-5349-43A2-81E9-83B9FD982CC4}">
          <x14:formula1>
            <xm:f>Data!$R$64:$R$82</xm:f>
          </x14:formula1>
          <xm:sqref>O21</xm:sqref>
        </x14:dataValidation>
        <x14:dataValidation type="list" allowBlank="1" showInputMessage="1" showErrorMessage="1" xr:uid="{28A95037-ED86-4A7F-94A1-B0501E3893B1}">
          <x14:formula1>
            <xm:f>Data!$C$42:$C$44</xm:f>
          </x14:formula1>
          <xm:sqref>P7:P20</xm:sqref>
        </x14:dataValidation>
        <x14:dataValidation type="list" allowBlank="1" showInputMessage="1" showErrorMessage="1" xr:uid="{48732508-05D6-41AF-A878-0CF77522002A}">
          <x14:formula1>
            <xm:f>Data!$C$47:$C$55</xm:f>
          </x14:formula1>
          <xm:sqref>R7:R20</xm:sqref>
        </x14:dataValidation>
        <x14:dataValidation type="list" allowBlank="1" showInputMessage="1" showErrorMessage="1" xr:uid="{3543EB96-2617-4D7C-8BE8-57A8A6B6061B}">
          <x14:formula1>
            <xm:f>Data!$I$6:$I$23</xm:f>
          </x14:formula1>
          <xm:sqref>S7:S20</xm:sqref>
        </x14:dataValidation>
        <x14:dataValidation type="list" allowBlank="1" showInputMessage="1" showErrorMessage="1" xr:uid="{A2FC69A2-3351-49B4-8B40-88225D55FEF1}">
          <x14:formula1>
            <xm:f>Data!$C$58:$C$62</xm:f>
          </x14:formula1>
          <xm:sqref>U7:U20</xm:sqref>
        </x14:dataValidation>
        <x14:dataValidation type="list" allowBlank="1" showInputMessage="1" showErrorMessage="1" xr:uid="{2601334A-655A-4313-A207-5E9FA01486FE}">
          <x14:formula1>
            <xm:f>Data!$X$6:$X$11</xm:f>
          </x14:formula1>
          <xm:sqref>V7:V20</xm:sqref>
        </x14:dataValidation>
        <x14:dataValidation type="list" allowBlank="1" showInputMessage="1" showErrorMessage="1" xr:uid="{3122DD99-6961-4D64-BE40-3E5AC344E927}">
          <x14:formula1>
            <xm:f>Data!$L$6:$L$57</xm:f>
          </x14:formula1>
          <xm:sqref>W7:W20</xm:sqref>
        </x14:dataValidation>
        <x14:dataValidation type="list" allowBlank="1" showInputMessage="1" showErrorMessage="1" xr:uid="{5AF4E683-FFA2-4E99-935C-5929A2D71A23}">
          <x14:formula1>
            <xm:f>Data!$C$65:$C$69</xm:f>
          </x14:formula1>
          <xm:sqref>X7:X20 AA7:AA20</xm:sqref>
        </x14:dataValidation>
        <x14:dataValidation type="list" allowBlank="1" showInputMessage="1" showErrorMessage="1" xr:uid="{731632D6-04D0-4437-9778-58B7149378C8}">
          <x14:formula1>
            <xm:f>Data!$X$16:$X$17</xm:f>
          </x14:formula1>
          <xm:sqref>AH7:AR20</xm:sqref>
        </x14:dataValidation>
        <x14:dataValidation type="list" allowBlank="1" showInputMessage="1" showErrorMessage="1" xr:uid="{87CB9AEF-1AA6-4861-92CF-406C1DDF6870}">
          <x14:formula1>
            <xm:f>Data!$O$31:$O$74</xm:f>
          </x14:formula1>
          <xm:sqref>AF7:AF21 AG21</xm:sqref>
        </x14:dataValidation>
        <x14:dataValidation type="list" allowBlank="1" showInputMessage="1" showErrorMessage="1" xr:uid="{359CDC6B-B8E2-4201-930D-B5A61E29BD48}">
          <x14:formula1>
            <xm:f>Data!$C$90:$C$95</xm:f>
          </x14:formula1>
          <xm:sqref>AG7:AG20</xm:sqref>
        </x14:dataValidation>
        <x14:dataValidation type="list" allowBlank="1" showInputMessage="1" showErrorMessage="1" xr:uid="{7BC9A723-FBD8-46B6-96F9-B682D2D196F0}">
          <x14:formula1>
            <xm:f>Data!$O$22:$O$25</xm:f>
          </x14:formula1>
          <xm:sqref>AE7:AE20</xm:sqref>
        </x14:dataValidation>
        <x14:dataValidation type="list" allowBlank="1" showInputMessage="1" showErrorMessage="1" xr:uid="{46BE44F2-E086-4BB0-9AEE-CCA88B6A6DED}">
          <x14:formula1>
            <xm:f>Data!$U$6:$U$26</xm:f>
          </x14:formula1>
          <xm:sqref>Y7:Y20</xm:sqref>
        </x14:dataValidation>
        <x14:dataValidation type="list" allowBlank="1" showInputMessage="1" showErrorMessage="1" xr:uid="{89173B3A-1A22-4965-96A3-EB1084F2DB19}">
          <x14:formula1>
            <xm:f>Data!$U$30:$U$45</xm:f>
          </x14:formula1>
          <xm:sqref>Z7:Z20</xm:sqref>
        </x14:dataValidation>
        <x14:dataValidation type="list" allowBlank="1" showInputMessage="1" showErrorMessage="1" xr:uid="{85A86650-22DA-4C77-87C0-E53697826977}">
          <x14:formula1>
            <xm:f>Data!$C$98:$C$118</xm:f>
          </x14:formula1>
          <xm:sqref>O7:O20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A082-5AED-45D4-8345-3A011277D3EE}">
  <dimension ref="C3:AN19"/>
  <sheetViews>
    <sheetView tabSelected="1" topLeftCell="H3" workbookViewId="0">
      <selection activeCell="X27" sqref="X27"/>
    </sheetView>
  </sheetViews>
  <sheetFormatPr defaultRowHeight="15" x14ac:dyDescent="0.25"/>
  <cols>
    <col min="4" max="6" width="9.28515625" bestFit="1" customWidth="1"/>
    <col min="7" max="7" width="10.5703125" bestFit="1" customWidth="1"/>
    <col min="8" max="9" width="11.5703125" bestFit="1" customWidth="1"/>
    <col min="10" max="11" width="11.5703125" customWidth="1"/>
    <col min="13" max="13" width="7.42578125" bestFit="1" customWidth="1"/>
    <col min="14" max="14" width="10.5703125" customWidth="1"/>
    <col min="15" max="15" width="9.28515625" customWidth="1"/>
    <col min="20" max="20" width="10.140625" customWidth="1"/>
    <col min="24" max="24" width="13.28515625" customWidth="1"/>
    <col min="30" max="30" width="11.140625" customWidth="1"/>
    <col min="31" max="32" width="10.5703125" bestFit="1" customWidth="1"/>
    <col min="33" max="33" width="12.7109375" bestFit="1" customWidth="1"/>
    <col min="40" max="40" width="8.42578125" bestFit="1" customWidth="1"/>
  </cols>
  <sheetData>
    <row r="3" spans="3:40" x14ac:dyDescent="0.25">
      <c r="C3" t="s">
        <v>606</v>
      </c>
    </row>
    <row r="5" spans="3:40" s="29" customFormat="1" ht="28.9" customHeight="1" x14ac:dyDescent="0.25">
      <c r="C5" s="96" t="s">
        <v>515</v>
      </c>
      <c r="D5" s="91" t="s">
        <v>505</v>
      </c>
      <c r="E5" s="91"/>
      <c r="F5" s="91" t="s">
        <v>506</v>
      </c>
      <c r="G5" s="91" t="s">
        <v>507</v>
      </c>
      <c r="H5" s="91"/>
      <c r="I5" s="92" t="s">
        <v>508</v>
      </c>
      <c r="J5" s="92" t="s">
        <v>509</v>
      </c>
      <c r="K5" s="92" t="s">
        <v>510</v>
      </c>
      <c r="L5" s="93" t="s">
        <v>541</v>
      </c>
      <c r="M5" s="95"/>
      <c r="N5" s="93" t="s">
        <v>303</v>
      </c>
      <c r="O5" s="94"/>
      <c r="P5" s="94"/>
      <c r="Q5" s="95"/>
      <c r="R5" s="52"/>
      <c r="S5" s="93" t="s">
        <v>542</v>
      </c>
      <c r="T5" s="95"/>
      <c r="U5" s="93" t="s">
        <v>303</v>
      </c>
      <c r="V5" s="94"/>
      <c r="W5" s="95"/>
      <c r="X5" s="92" t="s">
        <v>547</v>
      </c>
      <c r="Y5" s="31"/>
      <c r="Z5" s="31"/>
      <c r="AA5" s="93" t="s">
        <v>548</v>
      </c>
      <c r="AB5" s="95"/>
      <c r="AC5" s="92" t="s">
        <v>511</v>
      </c>
      <c r="AD5" s="92" t="s">
        <v>512</v>
      </c>
      <c r="AE5" s="93" t="s">
        <v>548</v>
      </c>
      <c r="AF5" s="95"/>
      <c r="AG5" s="92" t="s">
        <v>543</v>
      </c>
      <c r="AH5" s="93" t="s">
        <v>540</v>
      </c>
      <c r="AI5" s="95"/>
      <c r="AJ5" s="93" t="s">
        <v>549</v>
      </c>
      <c r="AK5" s="94"/>
      <c r="AL5" s="95"/>
      <c r="AM5" s="92" t="s">
        <v>514</v>
      </c>
      <c r="AN5" s="92"/>
    </row>
    <row r="6" spans="3:40" s="29" customFormat="1" ht="76.5" customHeight="1" x14ac:dyDescent="0.25">
      <c r="C6" s="96"/>
      <c r="D6" s="30" t="s">
        <v>516</v>
      </c>
      <c r="E6" s="31" t="s">
        <v>517</v>
      </c>
      <c r="F6" s="91"/>
      <c r="G6" s="30" t="s">
        <v>516</v>
      </c>
      <c r="H6" s="31" t="s">
        <v>518</v>
      </c>
      <c r="I6" s="92"/>
      <c r="J6" s="92"/>
      <c r="K6" s="92"/>
      <c r="L6" s="31" t="s">
        <v>519</v>
      </c>
      <c r="M6" s="31" t="s">
        <v>520</v>
      </c>
      <c r="N6" s="31" t="s">
        <v>521</v>
      </c>
      <c r="O6" s="31" t="s">
        <v>522</v>
      </c>
      <c r="P6" s="30" t="s">
        <v>523</v>
      </c>
      <c r="Q6" s="31" t="s">
        <v>524</v>
      </c>
      <c r="R6" s="31" t="s">
        <v>610</v>
      </c>
      <c r="S6" s="31" t="s">
        <v>525</v>
      </c>
      <c r="T6" s="31" t="s">
        <v>526</v>
      </c>
      <c r="U6" s="31" t="s">
        <v>527</v>
      </c>
      <c r="V6" s="31" t="s">
        <v>528</v>
      </c>
      <c r="W6" s="31" t="s">
        <v>546</v>
      </c>
      <c r="X6" s="92"/>
      <c r="Y6" s="31" t="s">
        <v>529</v>
      </c>
      <c r="Z6" s="31" t="s">
        <v>530</v>
      </c>
      <c r="AA6" s="31" t="s">
        <v>531</v>
      </c>
      <c r="AB6" s="31" t="s">
        <v>532</v>
      </c>
      <c r="AC6" s="92"/>
      <c r="AD6" s="92"/>
      <c r="AE6" s="31" t="s">
        <v>533</v>
      </c>
      <c r="AF6" s="31" t="s">
        <v>534</v>
      </c>
      <c r="AG6" s="92"/>
      <c r="AH6" s="31" t="s">
        <v>277</v>
      </c>
      <c r="AI6" s="31" t="s">
        <v>513</v>
      </c>
      <c r="AJ6" s="31" t="s">
        <v>537</v>
      </c>
      <c r="AK6" s="31" t="s">
        <v>538</v>
      </c>
      <c r="AL6" s="31" t="s">
        <v>539</v>
      </c>
      <c r="AM6" s="31" t="s">
        <v>535</v>
      </c>
      <c r="AN6" s="31" t="s">
        <v>536</v>
      </c>
    </row>
    <row r="7" spans="3:40" x14ac:dyDescent="0.25">
      <c r="C7" s="97">
        <v>46023</v>
      </c>
      <c r="D7" s="98">
        <v>450</v>
      </c>
      <c r="E7" s="98">
        <v>5000</v>
      </c>
      <c r="F7" s="98">
        <f>SUM(D7:E7)</f>
        <v>5450</v>
      </c>
      <c r="G7" s="98">
        <v>453000</v>
      </c>
      <c r="H7" s="98">
        <v>1900500</v>
      </c>
      <c r="I7" s="98">
        <f>SUM(G7:H7)</f>
        <v>2353500</v>
      </c>
      <c r="K7">
        <v>23</v>
      </c>
      <c r="L7" s="100">
        <f>SUM(K7/$I$7)*1000000</f>
        <v>9.7726789887401733</v>
      </c>
      <c r="M7" s="100">
        <f>SUM($K$7/$I$7)*1000000</f>
        <v>9.7726789887401733</v>
      </c>
      <c r="P7">
        <v>1</v>
      </c>
      <c r="Q7">
        <v>2</v>
      </c>
      <c r="R7">
        <f>SUM(P7:Q7)</f>
        <v>3</v>
      </c>
      <c r="S7" s="100">
        <f>SUM(R7/$I$7)*1000000</f>
        <v>1.2746972594008923</v>
      </c>
      <c r="T7" s="100">
        <f>SUM($R$7/$I$7)*1000000</f>
        <v>1.2746972594008923</v>
      </c>
      <c r="U7">
        <v>1</v>
      </c>
      <c r="V7">
        <v>2</v>
      </c>
      <c r="W7">
        <v>1</v>
      </c>
      <c r="X7">
        <f>SUM(U7:W7)</f>
        <v>4</v>
      </c>
      <c r="AA7" s="100">
        <f>X7/I7*1000000</f>
        <v>1.6995963458678565</v>
      </c>
      <c r="AB7" s="100">
        <f>SUM($X$7/$I$7)*1000000</f>
        <v>1.6995963458678565</v>
      </c>
      <c r="AC7">
        <v>32</v>
      </c>
      <c r="AE7" s="99">
        <f>AC7/I7*1000000</f>
        <v>13.596770766942852</v>
      </c>
      <c r="AF7" s="100">
        <f>SUM($AC$7/$I$7)*1000000</f>
        <v>13.596770766942852</v>
      </c>
    </row>
    <row r="8" spans="3:40" x14ac:dyDescent="0.25">
      <c r="C8" s="97">
        <v>46054</v>
      </c>
      <c r="D8" s="98">
        <v>439</v>
      </c>
      <c r="E8" s="98">
        <v>35000</v>
      </c>
      <c r="F8" s="98">
        <f>SUM(D8:E8)</f>
        <v>35439</v>
      </c>
      <c r="G8" s="98">
        <v>473000</v>
      </c>
      <c r="H8" s="98">
        <v>1870450</v>
      </c>
      <c r="I8" s="98">
        <f>SUM(G8:H8)</f>
        <v>2343450</v>
      </c>
      <c r="K8">
        <v>5</v>
      </c>
      <c r="L8" s="100">
        <f t="shared" ref="L8:L18" si="0">SUM(K8/$I$7)*1000000</f>
        <v>2.1244954323348204</v>
      </c>
      <c r="M8" s="100" cm="1">
        <f t="array" ref="M8">SUM($K$7:$K$8/$I$7:$I$8)*1000000</f>
        <v>11.906285423697183</v>
      </c>
      <c r="P8">
        <v>1</v>
      </c>
      <c r="Q8">
        <v>4</v>
      </c>
      <c r="R8">
        <f t="shared" ref="R8:R18" si="1">SUM(P8:Q8)</f>
        <v>5</v>
      </c>
      <c r="S8" s="100">
        <f t="shared" ref="S8:S18" si="2">SUM(R8/$I$7)*1000000</f>
        <v>2.1244954323348204</v>
      </c>
      <c r="T8" s="100" cm="1">
        <f t="array" ref="T8">SUM($R$7:$R$8/$I$7:$I$8)*1000000</f>
        <v>3.4083036943579001</v>
      </c>
      <c r="U8">
        <v>2</v>
      </c>
      <c r="V8">
        <v>1</v>
      </c>
      <c r="W8">
        <v>0</v>
      </c>
      <c r="X8">
        <f>SUM(U8:W8)</f>
        <v>3</v>
      </c>
      <c r="AA8" s="100">
        <f t="shared" ref="AA8:AA18" si="3">X8/I8*1000000</f>
        <v>1.2801638609742048</v>
      </c>
      <c r="AB8" s="100" cm="1">
        <f t="array" ref="AB8">SUM($X$7:$X$8/$I$7:$I$8)*1000000</f>
        <v>2.9797602068420614</v>
      </c>
      <c r="AC8">
        <v>75</v>
      </c>
      <c r="AE8" s="99">
        <f t="shared" ref="AE8:AE18" si="4">AC8/I8*1000000</f>
        <v>32.00409652435512</v>
      </c>
      <c r="AF8" s="100" cm="1">
        <f t="array" ref="AF8">SUM($AC$7:$AC$8/$I$7:$I$8)*1000000</f>
        <v>45.600867291297966</v>
      </c>
    </row>
    <row r="9" spans="3:40" x14ac:dyDescent="0.25">
      <c r="C9" s="97">
        <v>46082</v>
      </c>
      <c r="D9" s="98">
        <v>439</v>
      </c>
      <c r="E9" s="98">
        <v>35000</v>
      </c>
      <c r="F9" s="98">
        <f t="shared" ref="F9:F18" si="5">SUM(D9:E9)</f>
        <v>35439</v>
      </c>
      <c r="G9" s="98">
        <v>473000</v>
      </c>
      <c r="H9" s="98">
        <v>1870450</v>
      </c>
      <c r="I9" s="98">
        <f t="shared" ref="I9:I18" si="6">SUM(G9:H9)</f>
        <v>2343450</v>
      </c>
      <c r="K9">
        <v>7</v>
      </c>
      <c r="L9" s="100">
        <f t="shared" si="0"/>
        <v>2.9742936052687488</v>
      </c>
      <c r="M9" s="100" cm="1">
        <f t="array" ref="M9">SUM($K$7:$K$9/$I$7:$I$9)*1000000</f>
        <v>14.893334432636992</v>
      </c>
      <c r="P9">
        <v>3</v>
      </c>
      <c r="Q9">
        <v>5</v>
      </c>
      <c r="R9">
        <f t="shared" si="1"/>
        <v>8</v>
      </c>
      <c r="S9" s="100">
        <f t="shared" si="2"/>
        <v>3.3991926917357129</v>
      </c>
      <c r="T9" s="100"/>
      <c r="U9">
        <v>0</v>
      </c>
      <c r="V9">
        <v>0</v>
      </c>
      <c r="W9">
        <v>0</v>
      </c>
      <c r="X9">
        <f t="shared" ref="X9:X18" si="7">SUM(U9:W9)</f>
        <v>0</v>
      </c>
      <c r="AA9" s="100">
        <f t="shared" si="3"/>
        <v>0</v>
      </c>
      <c r="AB9" s="100"/>
      <c r="AC9">
        <v>23</v>
      </c>
      <c r="AE9" s="99">
        <f t="shared" si="4"/>
        <v>9.8145896008022362</v>
      </c>
      <c r="AF9" s="100"/>
    </row>
    <row r="10" spans="3:40" x14ac:dyDescent="0.25">
      <c r="C10" s="97">
        <v>46113</v>
      </c>
      <c r="D10" s="98">
        <v>439</v>
      </c>
      <c r="E10" s="98">
        <v>35000</v>
      </c>
      <c r="F10" s="98">
        <f t="shared" si="5"/>
        <v>35439</v>
      </c>
      <c r="G10" s="98">
        <v>473000</v>
      </c>
      <c r="H10" s="98">
        <v>1870450</v>
      </c>
      <c r="I10" s="98">
        <f t="shared" si="6"/>
        <v>2343450</v>
      </c>
      <c r="K10">
        <v>12</v>
      </c>
      <c r="L10" s="100">
        <f t="shared" si="0"/>
        <v>5.0987890376035692</v>
      </c>
      <c r="M10" s="100" cm="1">
        <f t="array" ref="M10">SUM($K$7:$K$10/$I$7:$I$10)*1000000</f>
        <v>20.013989876533813</v>
      </c>
      <c r="P10">
        <v>0</v>
      </c>
      <c r="Q10">
        <v>7</v>
      </c>
      <c r="R10">
        <f t="shared" si="1"/>
        <v>7</v>
      </c>
      <c r="S10" s="100">
        <f t="shared" si="2"/>
        <v>2.9742936052687488</v>
      </c>
      <c r="T10" s="100"/>
      <c r="U10">
        <v>0</v>
      </c>
      <c r="V10">
        <v>0</v>
      </c>
      <c r="W10">
        <v>0</v>
      </c>
      <c r="X10">
        <f t="shared" si="7"/>
        <v>0</v>
      </c>
      <c r="AA10" s="100">
        <f t="shared" si="3"/>
        <v>0</v>
      </c>
      <c r="AB10" s="100"/>
      <c r="AC10">
        <v>10</v>
      </c>
      <c r="AE10" s="99">
        <f t="shared" si="4"/>
        <v>4.2672128699140162</v>
      </c>
      <c r="AF10" s="100"/>
    </row>
    <row r="11" spans="3:40" x14ac:dyDescent="0.25">
      <c r="C11" s="97">
        <v>46143</v>
      </c>
      <c r="D11" s="98">
        <v>439</v>
      </c>
      <c r="E11" s="98">
        <v>35000</v>
      </c>
      <c r="F11" s="98">
        <f t="shared" si="5"/>
        <v>35439</v>
      </c>
      <c r="G11" s="98">
        <v>473000</v>
      </c>
      <c r="H11" s="98">
        <v>2870450</v>
      </c>
      <c r="I11" s="98">
        <f t="shared" si="6"/>
        <v>3343450</v>
      </c>
      <c r="K11">
        <v>5</v>
      </c>
      <c r="L11" s="100">
        <f t="shared" si="0"/>
        <v>2.1244954323348204</v>
      </c>
      <c r="M11" s="100"/>
      <c r="P11">
        <v>3</v>
      </c>
      <c r="Q11">
        <v>0</v>
      </c>
      <c r="R11">
        <f t="shared" si="1"/>
        <v>3</v>
      </c>
      <c r="S11" s="100">
        <f t="shared" si="2"/>
        <v>1.2746972594008923</v>
      </c>
      <c r="T11" s="100"/>
      <c r="U11">
        <v>0</v>
      </c>
      <c r="V11">
        <v>0</v>
      </c>
      <c r="W11">
        <v>0</v>
      </c>
      <c r="X11">
        <f t="shared" si="7"/>
        <v>0</v>
      </c>
      <c r="AA11" s="100">
        <f t="shared" si="3"/>
        <v>0</v>
      </c>
      <c r="AB11" s="100"/>
      <c r="AC11">
        <v>0</v>
      </c>
      <c r="AE11" s="99">
        <f t="shared" si="4"/>
        <v>0</v>
      </c>
      <c r="AF11" s="100"/>
    </row>
    <row r="12" spans="3:40" x14ac:dyDescent="0.25">
      <c r="C12" s="97">
        <v>46174</v>
      </c>
      <c r="D12" s="98">
        <v>439</v>
      </c>
      <c r="E12" s="98">
        <v>35000</v>
      </c>
      <c r="F12" s="98">
        <f t="shared" si="5"/>
        <v>35439</v>
      </c>
      <c r="G12" s="98">
        <v>473000</v>
      </c>
      <c r="H12" s="98">
        <v>1870450</v>
      </c>
      <c r="I12" s="98">
        <f t="shared" si="6"/>
        <v>2343450</v>
      </c>
      <c r="K12">
        <v>7</v>
      </c>
      <c r="L12" s="100">
        <f t="shared" si="0"/>
        <v>2.9742936052687488</v>
      </c>
      <c r="M12" s="100"/>
      <c r="P12">
        <v>6</v>
      </c>
      <c r="Q12">
        <v>0</v>
      </c>
      <c r="R12">
        <f t="shared" si="1"/>
        <v>6</v>
      </c>
      <c r="S12" s="100">
        <f t="shared" si="2"/>
        <v>2.5493945188017846</v>
      </c>
      <c r="T12" s="100"/>
      <c r="U12">
        <v>0</v>
      </c>
      <c r="V12">
        <v>0</v>
      </c>
      <c r="W12">
        <v>0</v>
      </c>
      <c r="X12">
        <f t="shared" si="7"/>
        <v>0</v>
      </c>
      <c r="AA12" s="100">
        <f t="shared" si="3"/>
        <v>0</v>
      </c>
      <c r="AB12" s="100"/>
      <c r="AC12">
        <v>0</v>
      </c>
      <c r="AE12" s="99">
        <f t="shared" si="4"/>
        <v>0</v>
      </c>
      <c r="AF12" s="100"/>
    </row>
    <row r="13" spans="3:40" x14ac:dyDescent="0.25">
      <c r="C13" s="97">
        <v>46204</v>
      </c>
      <c r="D13" s="98">
        <v>439</v>
      </c>
      <c r="E13" s="98">
        <v>35000</v>
      </c>
      <c r="F13" s="98">
        <f t="shared" si="5"/>
        <v>35439</v>
      </c>
      <c r="G13" s="98">
        <v>473000</v>
      </c>
      <c r="H13" s="98">
        <v>1870450</v>
      </c>
      <c r="I13" s="98">
        <f t="shared" si="6"/>
        <v>2343450</v>
      </c>
      <c r="K13">
        <v>17</v>
      </c>
      <c r="L13" s="100">
        <f t="shared" si="0"/>
        <v>7.22328446993839</v>
      </c>
      <c r="M13" s="100"/>
      <c r="P13">
        <v>9</v>
      </c>
      <c r="Q13">
        <v>0</v>
      </c>
      <c r="R13">
        <f t="shared" si="1"/>
        <v>9</v>
      </c>
      <c r="S13" s="100">
        <f t="shared" si="2"/>
        <v>3.8240917782026771</v>
      </c>
      <c r="T13" s="100"/>
      <c r="U13">
        <v>0</v>
      </c>
      <c r="V13">
        <v>0</v>
      </c>
      <c r="W13">
        <v>0</v>
      </c>
      <c r="X13">
        <f t="shared" si="7"/>
        <v>0</v>
      </c>
      <c r="AA13" s="100">
        <f t="shared" si="3"/>
        <v>0</v>
      </c>
      <c r="AB13" s="100"/>
      <c r="AC13">
        <v>0</v>
      </c>
      <c r="AE13" s="99">
        <f t="shared" si="4"/>
        <v>0</v>
      </c>
      <c r="AF13" s="100"/>
    </row>
    <row r="14" spans="3:40" x14ac:dyDescent="0.25">
      <c r="C14" s="97">
        <v>46235</v>
      </c>
      <c r="D14" s="98">
        <v>439</v>
      </c>
      <c r="E14" s="98">
        <v>35000</v>
      </c>
      <c r="F14" s="98">
        <f t="shared" si="5"/>
        <v>35439</v>
      </c>
      <c r="G14" s="98">
        <v>473000</v>
      </c>
      <c r="H14" s="98">
        <v>1870450</v>
      </c>
      <c r="I14" s="98">
        <f t="shared" si="6"/>
        <v>2343450</v>
      </c>
      <c r="K14">
        <v>15</v>
      </c>
      <c r="L14" s="100">
        <f t="shared" si="0"/>
        <v>6.3734862970044608</v>
      </c>
      <c r="M14" s="100"/>
      <c r="P14">
        <v>5</v>
      </c>
      <c r="Q14">
        <v>0</v>
      </c>
      <c r="R14">
        <f t="shared" si="1"/>
        <v>5</v>
      </c>
      <c r="S14" s="100">
        <f t="shared" si="2"/>
        <v>2.1244954323348204</v>
      </c>
      <c r="T14" s="100"/>
      <c r="U14">
        <v>0</v>
      </c>
      <c r="V14">
        <v>0</v>
      </c>
      <c r="W14">
        <v>0</v>
      </c>
      <c r="X14">
        <f t="shared" si="7"/>
        <v>0</v>
      </c>
      <c r="AA14" s="100">
        <f t="shared" si="3"/>
        <v>0</v>
      </c>
      <c r="AB14" s="100"/>
      <c r="AC14">
        <v>0</v>
      </c>
      <c r="AE14" s="99">
        <f t="shared" si="4"/>
        <v>0</v>
      </c>
      <c r="AF14" s="100"/>
    </row>
    <row r="15" spans="3:40" x14ac:dyDescent="0.25">
      <c r="C15" s="97">
        <v>46266</v>
      </c>
      <c r="D15" s="98">
        <v>439</v>
      </c>
      <c r="E15" s="98">
        <v>35000</v>
      </c>
      <c r="F15" s="98">
        <f t="shared" si="5"/>
        <v>35439</v>
      </c>
      <c r="G15" s="98">
        <v>473000</v>
      </c>
      <c r="H15" s="98">
        <v>1870445</v>
      </c>
      <c r="I15" s="98">
        <f t="shared" si="6"/>
        <v>2343445</v>
      </c>
      <c r="K15">
        <v>5</v>
      </c>
      <c r="L15" s="100">
        <f t="shared" si="0"/>
        <v>2.1244954323348204</v>
      </c>
      <c r="M15" s="100"/>
      <c r="P15">
        <v>0</v>
      </c>
      <c r="Q15">
        <v>0</v>
      </c>
      <c r="R15">
        <f t="shared" si="1"/>
        <v>0</v>
      </c>
      <c r="S15" s="100">
        <f t="shared" si="2"/>
        <v>0</v>
      </c>
      <c r="T15" s="100"/>
      <c r="U15">
        <v>0</v>
      </c>
      <c r="V15">
        <v>0</v>
      </c>
      <c r="W15">
        <v>0</v>
      </c>
      <c r="X15">
        <f t="shared" si="7"/>
        <v>0</v>
      </c>
      <c r="AA15" s="100">
        <f t="shared" si="3"/>
        <v>0</v>
      </c>
      <c r="AB15" s="100"/>
      <c r="AC15">
        <v>0</v>
      </c>
      <c r="AE15" s="99">
        <f t="shared" si="4"/>
        <v>0</v>
      </c>
      <c r="AF15" s="100"/>
    </row>
    <row r="16" spans="3:40" x14ac:dyDescent="0.25">
      <c r="C16" s="97">
        <v>46296</v>
      </c>
      <c r="D16" s="98">
        <v>439</v>
      </c>
      <c r="E16" s="98">
        <v>35000</v>
      </c>
      <c r="F16" s="98">
        <f t="shared" si="5"/>
        <v>35439</v>
      </c>
      <c r="G16" s="98">
        <v>473000</v>
      </c>
      <c r="H16" s="98">
        <v>1870450</v>
      </c>
      <c r="I16" s="98">
        <f t="shared" si="6"/>
        <v>2343450</v>
      </c>
      <c r="K16">
        <v>2</v>
      </c>
      <c r="L16" s="100">
        <f t="shared" si="0"/>
        <v>0.84979817293392823</v>
      </c>
      <c r="M16" s="100"/>
      <c r="P16">
        <v>0</v>
      </c>
      <c r="Q16">
        <v>0</v>
      </c>
      <c r="R16">
        <f t="shared" si="1"/>
        <v>0</v>
      </c>
      <c r="S16" s="100">
        <f t="shared" si="2"/>
        <v>0</v>
      </c>
      <c r="T16" s="100"/>
      <c r="U16">
        <v>0</v>
      </c>
      <c r="V16">
        <v>0</v>
      </c>
      <c r="W16">
        <v>0</v>
      </c>
      <c r="X16">
        <f t="shared" si="7"/>
        <v>0</v>
      </c>
      <c r="AA16" s="100">
        <f t="shared" si="3"/>
        <v>0</v>
      </c>
      <c r="AB16" s="100"/>
      <c r="AC16">
        <v>0</v>
      </c>
      <c r="AE16" s="99">
        <f t="shared" si="4"/>
        <v>0</v>
      </c>
      <c r="AF16" s="100"/>
    </row>
    <row r="17" spans="3:32" x14ac:dyDescent="0.25">
      <c r="C17" s="97">
        <v>46327</v>
      </c>
      <c r="D17" s="98">
        <v>439</v>
      </c>
      <c r="E17" s="98">
        <v>35000</v>
      </c>
      <c r="F17" s="98">
        <f t="shared" si="5"/>
        <v>35439</v>
      </c>
      <c r="G17" s="98">
        <v>473000</v>
      </c>
      <c r="H17" s="98">
        <v>1870450</v>
      </c>
      <c r="I17" s="98">
        <f t="shared" si="6"/>
        <v>2343450</v>
      </c>
      <c r="K17">
        <v>6</v>
      </c>
      <c r="L17" s="100">
        <f t="shared" si="0"/>
        <v>2.5493945188017846</v>
      </c>
      <c r="M17" s="100"/>
      <c r="P17">
        <v>0</v>
      </c>
      <c r="Q17">
        <v>0</v>
      </c>
      <c r="R17">
        <f t="shared" si="1"/>
        <v>0</v>
      </c>
      <c r="S17" s="100">
        <f t="shared" si="2"/>
        <v>0</v>
      </c>
      <c r="T17" s="100"/>
      <c r="U17">
        <v>0</v>
      </c>
      <c r="V17">
        <v>0</v>
      </c>
      <c r="W17">
        <v>0</v>
      </c>
      <c r="X17">
        <f t="shared" si="7"/>
        <v>0</v>
      </c>
      <c r="AA17" s="100">
        <f t="shared" si="3"/>
        <v>0</v>
      </c>
      <c r="AB17" s="100"/>
      <c r="AC17">
        <v>0</v>
      </c>
      <c r="AE17" s="99">
        <f t="shared" si="4"/>
        <v>0</v>
      </c>
      <c r="AF17" s="100"/>
    </row>
    <row r="18" spans="3:32" x14ac:dyDescent="0.25">
      <c r="C18" s="97">
        <v>46357</v>
      </c>
      <c r="D18" s="98">
        <v>439</v>
      </c>
      <c r="E18" s="98">
        <v>35000</v>
      </c>
      <c r="F18" s="98">
        <f t="shared" si="5"/>
        <v>35439</v>
      </c>
      <c r="G18" s="98">
        <v>473000</v>
      </c>
      <c r="H18" s="98">
        <v>1870450</v>
      </c>
      <c r="I18" s="98">
        <f t="shared" si="6"/>
        <v>2343450</v>
      </c>
      <c r="K18">
        <v>94</v>
      </c>
      <c r="L18" s="100">
        <f t="shared" si="0"/>
        <v>39.940514127894623</v>
      </c>
      <c r="M18" s="100"/>
      <c r="P18">
        <v>0</v>
      </c>
      <c r="Q18">
        <v>0</v>
      </c>
      <c r="R18">
        <f t="shared" si="1"/>
        <v>0</v>
      </c>
      <c r="S18" s="100">
        <f t="shared" si="2"/>
        <v>0</v>
      </c>
      <c r="T18" s="100"/>
      <c r="U18">
        <v>0</v>
      </c>
      <c r="V18">
        <v>0</v>
      </c>
      <c r="W18">
        <v>0</v>
      </c>
      <c r="X18">
        <f t="shared" si="7"/>
        <v>0</v>
      </c>
      <c r="AA18" s="100">
        <f t="shared" si="3"/>
        <v>0</v>
      </c>
      <c r="AB18" s="100"/>
      <c r="AC18">
        <v>0</v>
      </c>
      <c r="AE18" s="99">
        <f t="shared" si="4"/>
        <v>0</v>
      </c>
      <c r="AF18" s="100"/>
    </row>
    <row r="19" spans="3:32" x14ac:dyDescent="0.25">
      <c r="D19" s="99">
        <f t="shared" ref="D19:H19" si="8">SUM(D7:D18)</f>
        <v>5279</v>
      </c>
      <c r="E19" s="99">
        <f t="shared" si="8"/>
        <v>390000</v>
      </c>
      <c r="F19" s="99">
        <f t="shared" si="8"/>
        <v>395279</v>
      </c>
      <c r="G19" s="99">
        <f t="shared" si="8"/>
        <v>5656000</v>
      </c>
      <c r="H19" s="99">
        <f t="shared" si="8"/>
        <v>23475445</v>
      </c>
      <c r="I19" s="99">
        <f>SUM(I7:I18)</f>
        <v>29131445</v>
      </c>
      <c r="K19" s="99">
        <f>SUM(K7:K18)</f>
        <v>198</v>
      </c>
      <c r="L19" s="99">
        <f>SUM(L7:L18)</f>
        <v>84.130019120458883</v>
      </c>
      <c r="M19" s="99">
        <f>SUM(M7:M18)</f>
        <v>56.586288721608163</v>
      </c>
      <c r="P19">
        <f>SUM(P7:P18)</f>
        <v>28</v>
      </c>
      <c r="Q19">
        <f>SUM(Q7:Q18)</f>
        <v>18</v>
      </c>
      <c r="R19">
        <f>SUM(R7:R18)</f>
        <v>46</v>
      </c>
      <c r="S19" s="101">
        <f>SUM(S7:S18)</f>
        <v>19.54535797748035</v>
      </c>
      <c r="T19" s="101">
        <f>SUM(T7:T18)</f>
        <v>4.6830009537587927</v>
      </c>
      <c r="X19">
        <f>SUM(X7:X18)</f>
        <v>7</v>
      </c>
      <c r="AA19" s="101">
        <f>SUM(AA7:AA18)</f>
        <v>2.9797602068420614</v>
      </c>
      <c r="AB19" s="101">
        <f>SUM(AB7:AB18)</f>
        <v>4.6793565527099181</v>
      </c>
      <c r="AC19">
        <f>SUM(AC7:AC18)</f>
        <v>140</v>
      </c>
      <c r="AE19" s="101">
        <f>SUM(AE7:AE18)</f>
        <v>59.682669762014228</v>
      </c>
      <c r="AF19" s="101">
        <f>SUM(AF7:AF18)</f>
        <v>59.19763805824082</v>
      </c>
    </row>
  </sheetData>
  <mergeCells count="20">
    <mergeCell ref="AM5:AN5"/>
    <mergeCell ref="C5:C6"/>
    <mergeCell ref="AJ5:AL5"/>
    <mergeCell ref="K5:K6"/>
    <mergeCell ref="X5:X6"/>
    <mergeCell ref="AC5:AC6"/>
    <mergeCell ref="AD5:AD6"/>
    <mergeCell ref="AG5:AG6"/>
    <mergeCell ref="AH5:AI5"/>
    <mergeCell ref="L5:M5"/>
    <mergeCell ref="S5:T5"/>
    <mergeCell ref="AA5:AB5"/>
    <mergeCell ref="D5:E5"/>
    <mergeCell ref="F5:F6"/>
    <mergeCell ref="G5:H5"/>
    <mergeCell ref="I5:I6"/>
    <mergeCell ref="J5:J6"/>
    <mergeCell ref="U5:W5"/>
    <mergeCell ref="AE5:AF5"/>
    <mergeCell ref="N5:Q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Timeline</vt:lpstr>
      <vt:lpstr>Data</vt:lpstr>
      <vt:lpstr>Dashboard</vt:lpstr>
      <vt:lpstr>TABEL INPUT KECELAKAAN</vt:lpstr>
      <vt:lpstr>TABEL ANALISA KECELAKAAN</vt:lpstr>
      <vt:lpstr>Safety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Putri Widyaningtyas</dc:creator>
  <cp:lastModifiedBy>Fadjri Wivindi</cp:lastModifiedBy>
  <dcterms:created xsi:type="dcterms:W3CDTF">2026-03-24T07:53:28Z</dcterms:created>
  <dcterms:modified xsi:type="dcterms:W3CDTF">2026-06-09T09:49:35Z</dcterms:modified>
</cp:coreProperties>
</file>